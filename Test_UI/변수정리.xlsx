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y16\Desktop\AXBIS\Test_UI\"/>
    </mc:Choice>
  </mc:AlternateContent>
  <xr:revisionPtr revIDLastSave="0" documentId="13_ncr:1_{8255FA80-31D4-4790-8562-3D25C855B844}" xr6:coauthVersionLast="47" xr6:coauthVersionMax="47" xr10:uidLastSave="{00000000-0000-0000-0000-000000000000}"/>
  <bookViews>
    <workbookView xWindow="2775" yWindow="2670" windowWidth="21600" windowHeight="11295" activeTab="1" xr2:uid="{00000000-000D-0000-FFFF-FFFF00000000}"/>
  </bookViews>
  <sheets>
    <sheet name="STA" sheetId="1" r:id="rId1"/>
    <sheet name="CMD" sheetId="3" r:id="rId2"/>
    <sheet name="IO" sheetId="2" r:id="rId3"/>
    <sheet name="Sheet1" sheetId="4" r:id="rId4"/>
    <sheet name="Sheet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24" i="3" l="1"/>
  <c r="G723" i="3"/>
  <c r="F738" i="1"/>
  <c r="G738" i="1" s="1"/>
  <c r="F737" i="1"/>
  <c r="G737" i="1" s="1"/>
  <c r="F736" i="1"/>
  <c r="G736" i="1" s="1"/>
  <c r="F735" i="1"/>
  <c r="G735" i="1" s="1"/>
  <c r="F734" i="1"/>
  <c r="G734" i="1" s="1"/>
  <c r="F733" i="1"/>
  <c r="G733" i="1" s="1"/>
  <c r="F732" i="1"/>
  <c r="G732" i="1" s="1"/>
  <c r="F731" i="1"/>
  <c r="G731" i="1" s="1"/>
  <c r="F730" i="1"/>
  <c r="G730" i="1" s="1"/>
  <c r="F729" i="1"/>
  <c r="G729" i="1" s="1"/>
  <c r="F728" i="1"/>
  <c r="G728" i="1" s="1"/>
  <c r="F727" i="1"/>
  <c r="G727" i="1" s="1"/>
  <c r="F726" i="1"/>
  <c r="G726" i="1" s="1"/>
  <c r="F725" i="1"/>
  <c r="G725" i="1" s="1"/>
  <c r="F724" i="1"/>
  <c r="G724" i="1" s="1"/>
  <c r="F723" i="1"/>
  <c r="G723" i="1" s="1"/>
  <c r="F722" i="1"/>
  <c r="G722" i="1" s="1"/>
  <c r="F721" i="1"/>
  <c r="G721" i="1" s="1"/>
  <c r="F720" i="1"/>
  <c r="G720" i="1" s="1"/>
  <c r="F719" i="1"/>
  <c r="G719" i="1" s="1"/>
  <c r="F718" i="1"/>
  <c r="G718" i="1" s="1"/>
  <c r="F717" i="1"/>
  <c r="G717" i="1" s="1"/>
  <c r="F716" i="1"/>
  <c r="G716" i="1" s="1"/>
  <c r="F715" i="1"/>
  <c r="G715" i="1" s="1"/>
  <c r="F714" i="1"/>
  <c r="G714" i="1" s="1"/>
  <c r="F713" i="1"/>
  <c r="F712" i="1"/>
  <c r="F711" i="1"/>
  <c r="F710" i="1"/>
  <c r="F709" i="1"/>
  <c r="G774" i="3"/>
  <c r="G775" i="3"/>
  <c r="G776" i="3"/>
  <c r="G779" i="3"/>
  <c r="G780" i="3"/>
  <c r="G781" i="3"/>
  <c r="G782" i="3"/>
  <c r="F798" i="3"/>
  <c r="G798" i="3" s="1"/>
  <c r="F797" i="3"/>
  <c r="G797" i="3" s="1"/>
  <c r="F796" i="3"/>
  <c r="G796" i="3" s="1"/>
  <c r="F795" i="3"/>
  <c r="G795" i="3" s="1"/>
  <c r="F794" i="3"/>
  <c r="G794" i="3" s="1"/>
  <c r="F793" i="3"/>
  <c r="G793" i="3" s="1"/>
  <c r="F792" i="3"/>
  <c r="G792" i="3" s="1"/>
  <c r="F791" i="3"/>
  <c r="G791" i="3" s="1"/>
  <c r="F790" i="3"/>
  <c r="G790" i="3" s="1"/>
  <c r="F789" i="3"/>
  <c r="G789" i="3" s="1"/>
  <c r="F788" i="3"/>
  <c r="G788" i="3" s="1"/>
  <c r="F787" i="3"/>
  <c r="G787" i="3" s="1"/>
  <c r="F786" i="3"/>
  <c r="G786" i="3" s="1"/>
  <c r="F785" i="3"/>
  <c r="G785" i="3" s="1"/>
  <c r="F784" i="3"/>
  <c r="G784" i="3" s="1"/>
  <c r="F783" i="3"/>
  <c r="G783" i="3" s="1"/>
  <c r="F782" i="3"/>
  <c r="F781" i="3"/>
  <c r="F780" i="3"/>
  <c r="F779" i="3"/>
  <c r="F778" i="3"/>
  <c r="G778" i="3" s="1"/>
  <c r="F777" i="3"/>
  <c r="G777" i="3" s="1"/>
  <c r="F776" i="3"/>
  <c r="F775" i="3"/>
  <c r="F774" i="3"/>
  <c r="F773" i="3"/>
  <c r="G773" i="3" s="1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28" i="3"/>
  <c r="F729" i="3"/>
  <c r="F730" i="3"/>
  <c r="F731" i="3"/>
  <c r="F732" i="3"/>
  <c r="F733" i="3"/>
  <c r="G733" i="3" s="1"/>
  <c r="F734" i="3"/>
  <c r="G734" i="3"/>
  <c r="F735" i="3"/>
  <c r="G735" i="3"/>
  <c r="F736" i="3"/>
  <c r="G736" i="3"/>
  <c r="F737" i="3"/>
  <c r="G737" i="3"/>
  <c r="F678" i="1"/>
  <c r="F679" i="1"/>
  <c r="F680" i="1"/>
  <c r="F681" i="1"/>
  <c r="F682" i="1"/>
  <c r="F683" i="1"/>
  <c r="F684" i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F700" i="1"/>
  <c r="G700" i="1" s="1"/>
  <c r="F701" i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673" i="1"/>
  <c r="G673" i="1" s="1"/>
  <c r="F674" i="1"/>
  <c r="G674" i="1" s="1"/>
  <c r="F675" i="1"/>
  <c r="G675" i="1" s="1"/>
  <c r="F676" i="1"/>
  <c r="G67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G701" i="1"/>
  <c r="G699" i="1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667" i="3"/>
  <c r="G667" i="3" s="1"/>
  <c r="F668" i="3"/>
  <c r="G668" i="3" s="1"/>
  <c r="F669" i="3"/>
  <c r="G669" i="3" s="1"/>
  <c r="F670" i="3"/>
  <c r="G670" i="3" s="1"/>
  <c r="F671" i="3"/>
  <c r="G671" i="3" s="1"/>
  <c r="F672" i="3"/>
  <c r="G672" i="3" s="1"/>
  <c r="F673" i="3"/>
  <c r="G673" i="3" s="1"/>
  <c r="F674" i="3"/>
  <c r="G674" i="3" s="1"/>
  <c r="F675" i="3"/>
  <c r="G675" i="3" s="1"/>
  <c r="F676" i="3"/>
  <c r="G676" i="3" s="1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E478" i="5"/>
  <c r="E473" i="5"/>
  <c r="E472" i="5"/>
  <c r="E462" i="5"/>
  <c r="E461" i="5"/>
  <c r="E458" i="5"/>
  <c r="E452" i="5"/>
  <c r="E441" i="5"/>
  <c r="E440" i="5"/>
  <c r="E439" i="5"/>
  <c r="E438" i="5"/>
  <c r="E437" i="5"/>
  <c r="E432" i="5"/>
  <c r="E431" i="5"/>
  <c r="E427" i="5"/>
  <c r="E426" i="5"/>
  <c r="E421" i="5"/>
  <c r="E401" i="5"/>
  <c r="E400" i="5"/>
  <c r="E399" i="5"/>
  <c r="E398" i="5"/>
  <c r="E396" i="5"/>
  <c r="E395" i="5"/>
  <c r="E375" i="5"/>
  <c r="E370" i="5"/>
  <c r="E369" i="5"/>
  <c r="E359" i="5"/>
  <c r="E358" i="5"/>
  <c r="E355" i="5"/>
  <c r="E338" i="5"/>
  <c r="E337" i="5"/>
  <c r="E336" i="5"/>
  <c r="E335" i="5"/>
  <c r="E334" i="5"/>
  <c r="E328" i="5"/>
  <c r="E327" i="5"/>
  <c r="E324" i="5"/>
  <c r="E323" i="5"/>
  <c r="E318" i="5"/>
  <c r="E297" i="5"/>
  <c r="E296" i="5"/>
  <c r="E295" i="5"/>
  <c r="E294" i="5"/>
  <c r="E293" i="5"/>
  <c r="E292" i="5"/>
  <c r="E272" i="5"/>
  <c r="E267" i="5"/>
  <c r="E266" i="5"/>
  <c r="E256" i="5"/>
  <c r="E255" i="5"/>
  <c r="E252" i="5"/>
  <c r="E235" i="5"/>
  <c r="E234" i="5"/>
  <c r="E233" i="5"/>
  <c r="E231" i="5"/>
  <c r="E230" i="5"/>
  <c r="E225" i="5"/>
  <c r="E224" i="5"/>
  <c r="E221" i="5"/>
  <c r="E220" i="5"/>
  <c r="E215" i="5"/>
  <c r="E194" i="5"/>
  <c r="E193" i="5"/>
  <c r="E192" i="5"/>
  <c r="E191" i="5"/>
  <c r="E190" i="5"/>
  <c r="E189" i="5"/>
  <c r="E169" i="5"/>
  <c r="E163" i="5"/>
  <c r="E162" i="5"/>
  <c r="E153" i="5"/>
  <c r="E152" i="5"/>
  <c r="E149" i="5"/>
  <c r="E131" i="5"/>
  <c r="E130" i="5"/>
  <c r="E129" i="5"/>
  <c r="E128" i="5"/>
  <c r="E127" i="5"/>
  <c r="E122" i="5"/>
  <c r="E121" i="5"/>
  <c r="E118" i="5"/>
  <c r="E117" i="5"/>
  <c r="E112" i="5"/>
  <c r="E91" i="5"/>
  <c r="E90" i="5"/>
  <c r="E89" i="5"/>
  <c r="E88" i="5"/>
  <c r="E87" i="5"/>
  <c r="E86" i="5"/>
  <c r="E65" i="5"/>
  <c r="E60" i="5"/>
  <c r="E59" i="5"/>
  <c r="E50" i="5"/>
  <c r="E49" i="5"/>
  <c r="E46" i="5"/>
  <c r="E28" i="5"/>
  <c r="E27" i="5"/>
  <c r="E26" i="5"/>
  <c r="E25" i="5"/>
  <c r="E24" i="5"/>
  <c r="E19" i="5"/>
  <c r="E18" i="5"/>
  <c r="E15" i="5"/>
  <c r="E14" i="5"/>
  <c r="E9" i="5"/>
  <c r="B495" i="5"/>
  <c r="E495" i="5" s="1"/>
  <c r="B494" i="5"/>
  <c r="E494" i="5" s="1"/>
  <c r="B493" i="5"/>
  <c r="E493" i="5" s="1"/>
  <c r="B492" i="5"/>
  <c r="E492" i="5" s="1"/>
  <c r="B491" i="5"/>
  <c r="E491" i="5" s="1"/>
  <c r="B490" i="5"/>
  <c r="E490" i="5" s="1"/>
  <c r="B489" i="5"/>
  <c r="E489" i="5" s="1"/>
  <c r="B488" i="5"/>
  <c r="E488" i="5" s="1"/>
  <c r="B487" i="5"/>
  <c r="E487" i="5" s="1"/>
  <c r="B486" i="5"/>
  <c r="E486" i="5" s="1"/>
  <c r="B485" i="5"/>
  <c r="E485" i="5" s="1"/>
  <c r="B484" i="5"/>
  <c r="E484" i="5" s="1"/>
  <c r="B483" i="5"/>
  <c r="E483" i="5" s="1"/>
  <c r="B482" i="5"/>
  <c r="E482" i="5" s="1"/>
  <c r="B481" i="5"/>
  <c r="E481" i="5" s="1"/>
  <c r="B480" i="5"/>
  <c r="E480" i="5" s="1"/>
  <c r="B479" i="5"/>
  <c r="E479" i="5" s="1"/>
  <c r="B478" i="5"/>
  <c r="B477" i="5"/>
  <c r="E477" i="5" s="1"/>
  <c r="B476" i="5"/>
  <c r="E476" i="5" s="1"/>
  <c r="B475" i="5"/>
  <c r="E475" i="5" s="1"/>
  <c r="B474" i="5"/>
  <c r="E474" i="5" s="1"/>
  <c r="B473" i="5"/>
  <c r="B472" i="5"/>
  <c r="B471" i="5"/>
  <c r="E471" i="5" s="1"/>
  <c r="B470" i="5"/>
  <c r="E470" i="5" s="1"/>
  <c r="B469" i="5"/>
  <c r="E469" i="5" s="1"/>
  <c r="B468" i="5"/>
  <c r="E468" i="5" s="1"/>
  <c r="B467" i="5"/>
  <c r="E467" i="5" s="1"/>
  <c r="B466" i="5"/>
  <c r="E466" i="5" s="1"/>
  <c r="B465" i="5"/>
  <c r="E465" i="5" s="1"/>
  <c r="B464" i="5"/>
  <c r="E464" i="5" s="1"/>
  <c r="B462" i="5"/>
  <c r="B461" i="5"/>
  <c r="B460" i="5"/>
  <c r="E460" i="5" s="1"/>
  <c r="B459" i="5"/>
  <c r="E459" i="5" s="1"/>
  <c r="B458" i="5"/>
  <c r="B457" i="5"/>
  <c r="E457" i="5" s="1"/>
  <c r="B456" i="5"/>
  <c r="E456" i="5" s="1"/>
  <c r="B455" i="5"/>
  <c r="E455" i="5" s="1"/>
  <c r="B454" i="5"/>
  <c r="E454" i="5" s="1"/>
  <c r="B453" i="5"/>
  <c r="E453" i="5" s="1"/>
  <c r="B452" i="5"/>
  <c r="B451" i="5"/>
  <c r="E451" i="5" s="1"/>
  <c r="B450" i="5"/>
  <c r="E450" i="5" s="1"/>
  <c r="B449" i="5"/>
  <c r="E449" i="5" s="1"/>
  <c r="B448" i="5"/>
  <c r="E448" i="5" s="1"/>
  <c r="B447" i="5"/>
  <c r="E447" i="5" s="1"/>
  <c r="B446" i="5"/>
  <c r="E446" i="5" s="1"/>
  <c r="B445" i="5"/>
  <c r="E445" i="5" s="1"/>
  <c r="B444" i="5"/>
  <c r="E444" i="5" s="1"/>
  <c r="B443" i="5"/>
  <c r="E443" i="5" s="1"/>
  <c r="B442" i="5"/>
  <c r="E442" i="5" s="1"/>
  <c r="B441" i="5"/>
  <c r="B440" i="5"/>
  <c r="B439" i="5"/>
  <c r="B438" i="5"/>
  <c r="B437" i="5"/>
  <c r="B436" i="5"/>
  <c r="E436" i="5" s="1"/>
  <c r="B435" i="5"/>
  <c r="E435" i="5" s="1"/>
  <c r="B434" i="5"/>
  <c r="E434" i="5" s="1"/>
  <c r="B433" i="5"/>
  <c r="E433" i="5" s="1"/>
  <c r="B432" i="5"/>
  <c r="B431" i="5"/>
  <c r="B429" i="5"/>
  <c r="E429" i="5" s="1"/>
  <c r="B428" i="5"/>
  <c r="E428" i="5" s="1"/>
  <c r="B427" i="5"/>
  <c r="B426" i="5"/>
  <c r="B425" i="5"/>
  <c r="E425" i="5" s="1"/>
  <c r="B424" i="5"/>
  <c r="E424" i="5" s="1"/>
  <c r="B423" i="5"/>
  <c r="E423" i="5" s="1"/>
  <c r="B422" i="5"/>
  <c r="E422" i="5" s="1"/>
  <c r="B421" i="5"/>
  <c r="B420" i="5"/>
  <c r="E420" i="5" s="1"/>
  <c r="B419" i="5"/>
  <c r="E419" i="5" s="1"/>
  <c r="B418" i="5"/>
  <c r="E418" i="5" s="1"/>
  <c r="B417" i="5"/>
  <c r="E417" i="5" s="1"/>
  <c r="B416" i="5"/>
  <c r="E416" i="5" s="1"/>
  <c r="B415" i="5"/>
  <c r="E415" i="5" s="1"/>
  <c r="B414" i="5"/>
  <c r="E414" i="5" s="1"/>
  <c r="B413" i="5"/>
  <c r="E413" i="5" s="1"/>
  <c r="B412" i="5"/>
  <c r="E412" i="5" s="1"/>
  <c r="B411" i="5"/>
  <c r="E411" i="5" s="1"/>
  <c r="B410" i="5"/>
  <c r="E410" i="5" s="1"/>
  <c r="B409" i="5"/>
  <c r="E409" i="5" s="1"/>
  <c r="B408" i="5"/>
  <c r="E408" i="5" s="1"/>
  <c r="B407" i="5"/>
  <c r="E407" i="5" s="1"/>
  <c r="B406" i="5"/>
  <c r="E406" i="5" s="1"/>
  <c r="B405" i="5"/>
  <c r="E405" i="5" s="1"/>
  <c r="B404" i="5"/>
  <c r="E404" i="5" s="1"/>
  <c r="B403" i="5"/>
  <c r="E403" i="5" s="1"/>
  <c r="B402" i="5"/>
  <c r="E402" i="5" s="1"/>
  <c r="B401" i="5"/>
  <c r="B400" i="5"/>
  <c r="B399" i="5"/>
  <c r="B398" i="5"/>
  <c r="B396" i="5"/>
  <c r="B395" i="5"/>
  <c r="B394" i="5"/>
  <c r="E394" i="5" s="1"/>
  <c r="B393" i="5"/>
  <c r="E393" i="5" s="1"/>
  <c r="B392" i="5"/>
  <c r="E392" i="5" s="1"/>
  <c r="B391" i="5"/>
  <c r="E391" i="5" s="1"/>
  <c r="B390" i="5"/>
  <c r="E390" i="5" s="1"/>
  <c r="B389" i="5"/>
  <c r="E389" i="5" s="1"/>
  <c r="B388" i="5"/>
  <c r="E388" i="5" s="1"/>
  <c r="B387" i="5"/>
  <c r="E387" i="5" s="1"/>
  <c r="B386" i="5"/>
  <c r="E386" i="5" s="1"/>
  <c r="B385" i="5"/>
  <c r="E385" i="5" s="1"/>
  <c r="B384" i="5"/>
  <c r="E384" i="5" s="1"/>
  <c r="B383" i="5"/>
  <c r="E383" i="5" s="1"/>
  <c r="B382" i="5"/>
  <c r="E382" i="5" s="1"/>
  <c r="B381" i="5"/>
  <c r="E381" i="5" s="1"/>
  <c r="B380" i="5"/>
  <c r="E380" i="5" s="1"/>
  <c r="B379" i="5"/>
  <c r="E379" i="5" s="1"/>
  <c r="B378" i="5"/>
  <c r="E378" i="5" s="1"/>
  <c r="B377" i="5"/>
  <c r="E377" i="5" s="1"/>
  <c r="B376" i="5"/>
  <c r="E376" i="5" s="1"/>
  <c r="B375" i="5"/>
  <c r="B374" i="5"/>
  <c r="E374" i="5" s="1"/>
  <c r="B373" i="5"/>
  <c r="E373" i="5" s="1"/>
  <c r="B372" i="5"/>
  <c r="E372" i="5" s="1"/>
  <c r="B371" i="5"/>
  <c r="E371" i="5" s="1"/>
  <c r="B370" i="5"/>
  <c r="B369" i="5"/>
  <c r="B368" i="5"/>
  <c r="E368" i="5" s="1"/>
  <c r="B367" i="5"/>
  <c r="E367" i="5" s="1"/>
  <c r="B366" i="5"/>
  <c r="E366" i="5" s="1"/>
  <c r="B365" i="5"/>
  <c r="E365" i="5" s="1"/>
  <c r="B363" i="5"/>
  <c r="E363" i="5" s="1"/>
  <c r="B362" i="5"/>
  <c r="E362" i="5" s="1"/>
  <c r="B361" i="5"/>
  <c r="E361" i="5" s="1"/>
  <c r="B360" i="5"/>
  <c r="E360" i="5" s="1"/>
  <c r="B359" i="5"/>
  <c r="B358" i="5"/>
  <c r="B357" i="5"/>
  <c r="E357" i="5" s="1"/>
  <c r="B356" i="5"/>
  <c r="E356" i="5" s="1"/>
  <c r="B355" i="5"/>
  <c r="B354" i="5"/>
  <c r="E354" i="5" s="1"/>
  <c r="B353" i="5"/>
  <c r="E353" i="5" s="1"/>
  <c r="B352" i="5"/>
  <c r="E352" i="5" s="1"/>
  <c r="B351" i="5"/>
  <c r="E351" i="5" s="1"/>
  <c r="B350" i="5"/>
  <c r="E350" i="5" s="1"/>
  <c r="B349" i="5"/>
  <c r="E349" i="5" s="1"/>
  <c r="B348" i="5"/>
  <c r="E348" i="5" s="1"/>
  <c r="B347" i="5"/>
  <c r="E347" i="5" s="1"/>
  <c r="B346" i="5"/>
  <c r="E346" i="5" s="1"/>
  <c r="B345" i="5"/>
  <c r="E345" i="5" s="1"/>
  <c r="B344" i="5"/>
  <c r="E344" i="5" s="1"/>
  <c r="B343" i="5"/>
  <c r="E343" i="5" s="1"/>
  <c r="B342" i="5"/>
  <c r="E342" i="5" s="1"/>
  <c r="B341" i="5"/>
  <c r="E341" i="5" s="1"/>
  <c r="B340" i="5"/>
  <c r="E340" i="5" s="1"/>
  <c r="B339" i="5"/>
  <c r="E339" i="5" s="1"/>
  <c r="B338" i="5"/>
  <c r="B337" i="5"/>
  <c r="B336" i="5"/>
  <c r="B335" i="5"/>
  <c r="B334" i="5"/>
  <c r="B333" i="5"/>
  <c r="E333" i="5" s="1"/>
  <c r="B332" i="5"/>
  <c r="E332" i="5" s="1"/>
  <c r="B330" i="5"/>
  <c r="E330" i="5" s="1"/>
  <c r="B329" i="5"/>
  <c r="E329" i="5" s="1"/>
  <c r="B328" i="5"/>
  <c r="B327" i="5"/>
  <c r="B326" i="5"/>
  <c r="E326" i="5" s="1"/>
  <c r="B325" i="5"/>
  <c r="E325" i="5" s="1"/>
  <c r="B324" i="5"/>
  <c r="B323" i="5"/>
  <c r="B322" i="5"/>
  <c r="E322" i="5" s="1"/>
  <c r="B321" i="5"/>
  <c r="E321" i="5" s="1"/>
  <c r="B320" i="5"/>
  <c r="E320" i="5" s="1"/>
  <c r="B319" i="5"/>
  <c r="E319" i="5" s="1"/>
  <c r="B318" i="5"/>
  <c r="B317" i="5"/>
  <c r="E317" i="5" s="1"/>
  <c r="B316" i="5"/>
  <c r="E316" i="5" s="1"/>
  <c r="B315" i="5"/>
  <c r="E315" i="5" s="1"/>
  <c r="B314" i="5"/>
  <c r="E314" i="5" s="1"/>
  <c r="B313" i="5"/>
  <c r="E313" i="5" s="1"/>
  <c r="B312" i="5"/>
  <c r="E312" i="5" s="1"/>
  <c r="B311" i="5"/>
  <c r="E311" i="5" s="1"/>
  <c r="B310" i="5"/>
  <c r="E310" i="5" s="1"/>
  <c r="B309" i="5"/>
  <c r="E309" i="5" s="1"/>
  <c r="B308" i="5"/>
  <c r="E308" i="5" s="1"/>
  <c r="B307" i="5"/>
  <c r="E307" i="5" s="1"/>
  <c r="B306" i="5"/>
  <c r="E306" i="5" s="1"/>
  <c r="B305" i="5"/>
  <c r="E305" i="5" s="1"/>
  <c r="B304" i="5"/>
  <c r="E304" i="5" s="1"/>
  <c r="B303" i="5"/>
  <c r="E303" i="5" s="1"/>
  <c r="B302" i="5"/>
  <c r="E302" i="5" s="1"/>
  <c r="B301" i="5"/>
  <c r="E301" i="5" s="1"/>
  <c r="B300" i="5"/>
  <c r="E300" i="5" s="1"/>
  <c r="B299" i="5"/>
  <c r="E299" i="5" s="1"/>
  <c r="B297" i="5"/>
  <c r="B296" i="5"/>
  <c r="B295" i="5"/>
  <c r="B294" i="5"/>
  <c r="B293" i="5"/>
  <c r="B292" i="5"/>
  <c r="B291" i="5"/>
  <c r="E291" i="5" s="1"/>
  <c r="B290" i="5"/>
  <c r="E290" i="5" s="1"/>
  <c r="B289" i="5"/>
  <c r="E289" i="5" s="1"/>
  <c r="B288" i="5"/>
  <c r="E288" i="5" s="1"/>
  <c r="B287" i="5"/>
  <c r="E287" i="5" s="1"/>
  <c r="B286" i="5"/>
  <c r="E286" i="5" s="1"/>
  <c r="B285" i="5"/>
  <c r="E285" i="5" s="1"/>
  <c r="B284" i="5"/>
  <c r="E284" i="5" s="1"/>
  <c r="B283" i="5"/>
  <c r="E283" i="5" s="1"/>
  <c r="B282" i="5"/>
  <c r="E282" i="5" s="1"/>
  <c r="B281" i="5"/>
  <c r="E281" i="5" s="1"/>
  <c r="B280" i="5"/>
  <c r="E280" i="5" s="1"/>
  <c r="B279" i="5"/>
  <c r="E279" i="5" s="1"/>
  <c r="B278" i="5"/>
  <c r="E278" i="5" s="1"/>
  <c r="B277" i="5"/>
  <c r="E277" i="5" s="1"/>
  <c r="B276" i="5"/>
  <c r="E276" i="5" s="1"/>
  <c r="B275" i="5"/>
  <c r="E275" i="5" s="1"/>
  <c r="B274" i="5"/>
  <c r="E274" i="5" s="1"/>
  <c r="B273" i="5"/>
  <c r="E273" i="5" s="1"/>
  <c r="B272" i="5"/>
  <c r="B271" i="5"/>
  <c r="E271" i="5" s="1"/>
  <c r="B270" i="5"/>
  <c r="E270" i="5" s="1"/>
  <c r="B269" i="5"/>
  <c r="E269" i="5" s="1"/>
  <c r="B268" i="5"/>
  <c r="E268" i="5" s="1"/>
  <c r="B267" i="5"/>
  <c r="B266" i="5"/>
  <c r="B264" i="5"/>
  <c r="E264" i="5" s="1"/>
  <c r="B263" i="5"/>
  <c r="E263" i="5" s="1"/>
  <c r="B262" i="5"/>
  <c r="E262" i="5" s="1"/>
  <c r="B261" i="5"/>
  <c r="E261" i="5" s="1"/>
  <c r="B260" i="5"/>
  <c r="E260" i="5" s="1"/>
  <c r="B259" i="5"/>
  <c r="E259" i="5" s="1"/>
  <c r="B258" i="5"/>
  <c r="E258" i="5" s="1"/>
  <c r="B257" i="5"/>
  <c r="E257" i="5" s="1"/>
  <c r="B256" i="5"/>
  <c r="B255" i="5"/>
  <c r="B254" i="5"/>
  <c r="E254" i="5" s="1"/>
  <c r="B253" i="5"/>
  <c r="E253" i="5" s="1"/>
  <c r="B252" i="5"/>
  <c r="B251" i="5"/>
  <c r="E251" i="5" s="1"/>
  <c r="B250" i="5"/>
  <c r="E250" i="5" s="1"/>
  <c r="B249" i="5"/>
  <c r="E249" i="5" s="1"/>
  <c r="B248" i="5"/>
  <c r="E248" i="5" s="1"/>
  <c r="B247" i="5"/>
  <c r="E247" i="5" s="1"/>
  <c r="B246" i="5"/>
  <c r="E246" i="5" s="1"/>
  <c r="B245" i="5"/>
  <c r="E245" i="5" s="1"/>
  <c r="B244" i="5"/>
  <c r="E244" i="5" s="1"/>
  <c r="B243" i="5"/>
  <c r="E243" i="5" s="1"/>
  <c r="B242" i="5"/>
  <c r="E242" i="5" s="1"/>
  <c r="B241" i="5"/>
  <c r="E241" i="5" s="1"/>
  <c r="B240" i="5"/>
  <c r="E240" i="5" s="1"/>
  <c r="B239" i="5"/>
  <c r="E239" i="5" s="1"/>
  <c r="B238" i="5"/>
  <c r="E238" i="5" s="1"/>
  <c r="B237" i="5"/>
  <c r="E237" i="5" s="1"/>
  <c r="B236" i="5"/>
  <c r="E236" i="5" s="1"/>
  <c r="B235" i="5"/>
  <c r="B234" i="5"/>
  <c r="B233" i="5"/>
  <c r="B231" i="5"/>
  <c r="B230" i="5"/>
  <c r="B229" i="5"/>
  <c r="E229" i="5" s="1"/>
  <c r="B228" i="5"/>
  <c r="E228" i="5" s="1"/>
  <c r="B227" i="5"/>
  <c r="E227" i="5" s="1"/>
  <c r="B226" i="5"/>
  <c r="E226" i="5" s="1"/>
  <c r="B225" i="5"/>
  <c r="B224" i="5"/>
  <c r="B223" i="5"/>
  <c r="E223" i="5" s="1"/>
  <c r="B222" i="5"/>
  <c r="E222" i="5" s="1"/>
  <c r="B221" i="5"/>
  <c r="B220" i="5"/>
  <c r="B219" i="5"/>
  <c r="E219" i="5" s="1"/>
  <c r="B218" i="5"/>
  <c r="E218" i="5" s="1"/>
  <c r="B217" i="5"/>
  <c r="E217" i="5" s="1"/>
  <c r="B216" i="5"/>
  <c r="E216" i="5" s="1"/>
  <c r="B215" i="5"/>
  <c r="B214" i="5"/>
  <c r="E214" i="5" s="1"/>
  <c r="B213" i="5"/>
  <c r="E213" i="5" s="1"/>
  <c r="B212" i="5"/>
  <c r="E212" i="5" s="1"/>
  <c r="B211" i="5"/>
  <c r="E211" i="5" s="1"/>
  <c r="B210" i="5"/>
  <c r="E210" i="5" s="1"/>
  <c r="B209" i="5"/>
  <c r="E209" i="5" s="1"/>
  <c r="B208" i="5"/>
  <c r="E208" i="5" s="1"/>
  <c r="B207" i="5"/>
  <c r="E207" i="5" s="1"/>
  <c r="B206" i="5"/>
  <c r="E206" i="5" s="1"/>
  <c r="B205" i="5"/>
  <c r="E205" i="5" s="1"/>
  <c r="B204" i="5"/>
  <c r="E204" i="5" s="1"/>
  <c r="B203" i="5"/>
  <c r="E203" i="5" s="1"/>
  <c r="B202" i="5"/>
  <c r="E202" i="5" s="1"/>
  <c r="B201" i="5"/>
  <c r="E201" i="5" s="1"/>
  <c r="B200" i="5"/>
  <c r="E200" i="5" s="1"/>
  <c r="B198" i="5"/>
  <c r="E198" i="5" s="1"/>
  <c r="B197" i="5"/>
  <c r="E197" i="5" s="1"/>
  <c r="B196" i="5"/>
  <c r="E196" i="5" s="1"/>
  <c r="B195" i="5"/>
  <c r="E195" i="5" s="1"/>
  <c r="B194" i="5"/>
  <c r="B193" i="5"/>
  <c r="B192" i="5"/>
  <c r="B191" i="5"/>
  <c r="B190" i="5"/>
  <c r="B189" i="5"/>
  <c r="B188" i="5"/>
  <c r="E188" i="5" s="1"/>
  <c r="B187" i="5"/>
  <c r="E187" i="5" s="1"/>
  <c r="B186" i="5"/>
  <c r="E186" i="5" s="1"/>
  <c r="B185" i="5"/>
  <c r="E185" i="5" s="1"/>
  <c r="B184" i="5"/>
  <c r="E184" i="5" s="1"/>
  <c r="B183" i="5"/>
  <c r="E183" i="5" s="1"/>
  <c r="B182" i="5"/>
  <c r="E182" i="5" s="1"/>
  <c r="B181" i="5"/>
  <c r="E181" i="5" s="1"/>
  <c r="B180" i="5"/>
  <c r="E180" i="5" s="1"/>
  <c r="B179" i="5"/>
  <c r="E179" i="5" s="1"/>
  <c r="B178" i="5"/>
  <c r="E178" i="5" s="1"/>
  <c r="B177" i="5"/>
  <c r="E177" i="5" s="1"/>
  <c r="B176" i="5"/>
  <c r="E176" i="5" s="1"/>
  <c r="B175" i="5"/>
  <c r="E175" i="5" s="1"/>
  <c r="B174" i="5"/>
  <c r="E174" i="5" s="1"/>
  <c r="B173" i="5"/>
  <c r="E173" i="5" s="1"/>
  <c r="B172" i="5"/>
  <c r="E172" i="5" s="1"/>
  <c r="B171" i="5"/>
  <c r="E171" i="5" s="1"/>
  <c r="B170" i="5"/>
  <c r="E170" i="5" s="1"/>
  <c r="B169" i="5"/>
  <c r="B168" i="5"/>
  <c r="E168" i="5" s="1"/>
  <c r="B167" i="5"/>
  <c r="E167" i="5" s="1"/>
  <c r="B165" i="5"/>
  <c r="E165" i="5" s="1"/>
  <c r="B164" i="5"/>
  <c r="E164" i="5" s="1"/>
  <c r="B163" i="5"/>
  <c r="B162" i="5"/>
  <c r="B161" i="5"/>
  <c r="E161" i="5" s="1"/>
  <c r="B160" i="5"/>
  <c r="E160" i="5" s="1"/>
  <c r="B159" i="5"/>
  <c r="E159" i="5" s="1"/>
  <c r="B158" i="5"/>
  <c r="E158" i="5" s="1"/>
  <c r="B157" i="5"/>
  <c r="E157" i="5" s="1"/>
  <c r="B156" i="5"/>
  <c r="E156" i="5" s="1"/>
  <c r="B155" i="5"/>
  <c r="E155" i="5" s="1"/>
  <c r="B154" i="5"/>
  <c r="E154" i="5" s="1"/>
  <c r="B153" i="5"/>
  <c r="B152" i="5"/>
  <c r="B151" i="5"/>
  <c r="E151" i="5" s="1"/>
  <c r="B150" i="5"/>
  <c r="E150" i="5" s="1"/>
  <c r="B149" i="5"/>
  <c r="B148" i="5"/>
  <c r="E148" i="5" s="1"/>
  <c r="B147" i="5"/>
  <c r="E147" i="5" s="1"/>
  <c r="B146" i="5"/>
  <c r="E146" i="5" s="1"/>
  <c r="B145" i="5"/>
  <c r="E145" i="5" s="1"/>
  <c r="B144" i="5"/>
  <c r="E144" i="5" s="1"/>
  <c r="B143" i="5"/>
  <c r="E143" i="5" s="1"/>
  <c r="B142" i="5"/>
  <c r="E142" i="5" s="1"/>
  <c r="B141" i="5"/>
  <c r="E141" i="5" s="1"/>
  <c r="B140" i="5"/>
  <c r="E140" i="5" s="1"/>
  <c r="B139" i="5"/>
  <c r="E139" i="5" s="1"/>
  <c r="B138" i="5"/>
  <c r="E138" i="5" s="1"/>
  <c r="B137" i="5"/>
  <c r="E137" i="5" s="1"/>
  <c r="B136" i="5"/>
  <c r="E136" i="5" s="1"/>
  <c r="B135" i="5"/>
  <c r="E135" i="5" s="1"/>
  <c r="B134" i="5"/>
  <c r="E134" i="5" s="1"/>
  <c r="B132" i="5"/>
  <c r="E132" i="5" s="1"/>
  <c r="B131" i="5"/>
  <c r="B130" i="5"/>
  <c r="B129" i="5"/>
  <c r="B128" i="5"/>
  <c r="B127" i="5"/>
  <c r="B126" i="5"/>
  <c r="E126" i="5" s="1"/>
  <c r="B125" i="5"/>
  <c r="E125" i="5" s="1"/>
  <c r="B124" i="5"/>
  <c r="E124" i="5" s="1"/>
  <c r="B123" i="5"/>
  <c r="E123" i="5" s="1"/>
  <c r="B122" i="5"/>
  <c r="B121" i="5"/>
  <c r="B120" i="5"/>
  <c r="E120" i="5" s="1"/>
  <c r="B119" i="5"/>
  <c r="E119" i="5" s="1"/>
  <c r="B118" i="5"/>
  <c r="B117" i="5"/>
  <c r="B116" i="5"/>
  <c r="E116" i="5" s="1"/>
  <c r="B115" i="5"/>
  <c r="E115" i="5" s="1"/>
  <c r="B114" i="5"/>
  <c r="E114" i="5" s="1"/>
  <c r="B113" i="5"/>
  <c r="E113" i="5" s="1"/>
  <c r="B112" i="5"/>
  <c r="B111" i="5"/>
  <c r="E111" i="5" s="1"/>
  <c r="B110" i="5"/>
  <c r="E110" i="5" s="1"/>
  <c r="B109" i="5"/>
  <c r="E109" i="5" s="1"/>
  <c r="B108" i="5"/>
  <c r="E108" i="5" s="1"/>
  <c r="B107" i="5"/>
  <c r="E107" i="5" s="1"/>
  <c r="B106" i="5"/>
  <c r="E106" i="5" s="1"/>
  <c r="B105" i="5"/>
  <c r="E105" i="5" s="1"/>
  <c r="B104" i="5"/>
  <c r="E104" i="5" s="1"/>
  <c r="B103" i="5"/>
  <c r="E103" i="5" s="1"/>
  <c r="B102" i="5"/>
  <c r="E102" i="5" s="1"/>
  <c r="B101" i="5"/>
  <c r="E101" i="5" s="1"/>
  <c r="B99" i="5"/>
  <c r="E99" i="5" s="1"/>
  <c r="B98" i="5"/>
  <c r="E98" i="5" s="1"/>
  <c r="B97" i="5"/>
  <c r="E97" i="5" s="1"/>
  <c r="B96" i="5"/>
  <c r="E96" i="5" s="1"/>
  <c r="B95" i="5"/>
  <c r="E95" i="5" s="1"/>
  <c r="B94" i="5"/>
  <c r="E94" i="5" s="1"/>
  <c r="B93" i="5"/>
  <c r="E93" i="5" s="1"/>
  <c r="B92" i="5"/>
  <c r="E92" i="5" s="1"/>
  <c r="B91" i="5"/>
  <c r="B90" i="5"/>
  <c r="B89" i="5"/>
  <c r="B88" i="5"/>
  <c r="B87" i="5"/>
  <c r="B86" i="5"/>
  <c r="B85" i="5"/>
  <c r="E85" i="5" s="1"/>
  <c r="B84" i="5"/>
  <c r="E84" i="5" s="1"/>
  <c r="B83" i="5"/>
  <c r="E83" i="5" s="1"/>
  <c r="B82" i="5"/>
  <c r="E82" i="5" s="1"/>
  <c r="B81" i="5"/>
  <c r="E81" i="5" s="1"/>
  <c r="B80" i="5"/>
  <c r="E80" i="5" s="1"/>
  <c r="B79" i="5"/>
  <c r="E79" i="5" s="1"/>
  <c r="B78" i="5"/>
  <c r="E78" i="5" s="1"/>
  <c r="B77" i="5"/>
  <c r="E77" i="5" s="1"/>
  <c r="B76" i="5"/>
  <c r="E76" i="5" s="1"/>
  <c r="B75" i="5"/>
  <c r="E75" i="5" s="1"/>
  <c r="B74" i="5"/>
  <c r="E74" i="5" s="1"/>
  <c r="B73" i="5"/>
  <c r="E73" i="5" s="1"/>
  <c r="B72" i="5"/>
  <c r="E72" i="5" s="1"/>
  <c r="B71" i="5"/>
  <c r="E71" i="5" s="1"/>
  <c r="B70" i="5"/>
  <c r="E70" i="5" s="1"/>
  <c r="B69" i="5"/>
  <c r="E69" i="5" s="1"/>
  <c r="B68" i="5"/>
  <c r="E68" i="5" s="1"/>
  <c r="B66" i="5"/>
  <c r="E66" i="5" s="1"/>
  <c r="B65" i="5"/>
  <c r="B64" i="5"/>
  <c r="E64" i="5" s="1"/>
  <c r="B63" i="5"/>
  <c r="E63" i="5" s="1"/>
  <c r="B62" i="5"/>
  <c r="E62" i="5" s="1"/>
  <c r="B61" i="5"/>
  <c r="E61" i="5" s="1"/>
  <c r="B60" i="5"/>
  <c r="B59" i="5"/>
  <c r="B58" i="5"/>
  <c r="E58" i="5" s="1"/>
  <c r="B57" i="5"/>
  <c r="E57" i="5" s="1"/>
  <c r="B56" i="5"/>
  <c r="E56" i="5" s="1"/>
  <c r="B55" i="5"/>
  <c r="E55" i="5" s="1"/>
  <c r="B54" i="5"/>
  <c r="E54" i="5" s="1"/>
  <c r="B53" i="5"/>
  <c r="E53" i="5" s="1"/>
  <c r="B52" i="5"/>
  <c r="E52" i="5" s="1"/>
  <c r="B51" i="5"/>
  <c r="E51" i="5" s="1"/>
  <c r="B50" i="5"/>
  <c r="B49" i="5"/>
  <c r="B48" i="5"/>
  <c r="E48" i="5" s="1"/>
  <c r="B47" i="5"/>
  <c r="E47" i="5" s="1"/>
  <c r="B46" i="5"/>
  <c r="B45" i="5"/>
  <c r="E45" i="5" s="1"/>
  <c r="B44" i="5"/>
  <c r="E44" i="5" s="1"/>
  <c r="B43" i="5"/>
  <c r="E43" i="5" s="1"/>
  <c r="B42" i="5"/>
  <c r="E42" i="5" s="1"/>
  <c r="B41" i="5"/>
  <c r="E41" i="5" s="1"/>
  <c r="B40" i="5"/>
  <c r="E40" i="5" s="1"/>
  <c r="B39" i="5"/>
  <c r="E39" i="5" s="1"/>
  <c r="B38" i="5"/>
  <c r="E38" i="5" s="1"/>
  <c r="B37" i="5"/>
  <c r="E37" i="5" s="1"/>
  <c r="B36" i="5"/>
  <c r="E36" i="5" s="1"/>
  <c r="B35" i="5"/>
  <c r="E35" i="5" s="1"/>
  <c r="B33" i="5"/>
  <c r="E33" i="5" s="1"/>
  <c r="B32" i="5"/>
  <c r="E32" i="5" s="1"/>
  <c r="B31" i="5"/>
  <c r="E31" i="5" s="1"/>
  <c r="B30" i="5"/>
  <c r="E30" i="5" s="1"/>
  <c r="B29" i="5"/>
  <c r="E29" i="5" s="1"/>
  <c r="B28" i="5"/>
  <c r="B27" i="5"/>
  <c r="B26" i="5"/>
  <c r="B25" i="5"/>
  <c r="B24" i="5"/>
  <c r="B23" i="5"/>
  <c r="E23" i="5" s="1"/>
  <c r="B22" i="5"/>
  <c r="E22" i="5" s="1"/>
  <c r="B21" i="5"/>
  <c r="E21" i="5" s="1"/>
  <c r="B20" i="5"/>
  <c r="E20" i="5" s="1"/>
  <c r="B19" i="5"/>
  <c r="B18" i="5"/>
  <c r="B17" i="5"/>
  <c r="E17" i="5" s="1"/>
  <c r="B16" i="5"/>
  <c r="E16" i="5" s="1"/>
  <c r="B15" i="5"/>
  <c r="B14" i="5"/>
  <c r="B13" i="5"/>
  <c r="E13" i="5" s="1"/>
  <c r="B12" i="5"/>
  <c r="E12" i="5" s="1"/>
  <c r="B11" i="5"/>
  <c r="E11" i="5" s="1"/>
  <c r="B10" i="5"/>
  <c r="E10" i="5" s="1"/>
  <c r="B9" i="5"/>
  <c r="B8" i="5"/>
  <c r="E8" i="5" s="1"/>
  <c r="B7" i="5"/>
  <c r="E7" i="5" s="1"/>
  <c r="B6" i="5"/>
  <c r="E6" i="5" s="1"/>
  <c r="B5" i="5"/>
  <c r="E5" i="5" s="1"/>
  <c r="B4" i="5"/>
  <c r="E4" i="5" s="1"/>
  <c r="B3" i="5"/>
  <c r="E3" i="5" s="1"/>
  <c r="B2" i="5"/>
  <c r="E2" i="5" s="1"/>
  <c r="E299" i="4"/>
  <c r="E493" i="4"/>
  <c r="E490" i="4"/>
  <c r="E489" i="4"/>
  <c r="E488" i="4"/>
  <c r="E485" i="4"/>
  <c r="E484" i="4"/>
  <c r="E483" i="4"/>
  <c r="E482" i="4"/>
  <c r="E481" i="4"/>
  <c r="E480" i="4"/>
  <c r="E479" i="4"/>
  <c r="E474" i="4"/>
  <c r="E473" i="4"/>
  <c r="E470" i="4"/>
  <c r="E469" i="4"/>
  <c r="E468" i="4"/>
  <c r="E464" i="4"/>
  <c r="E458" i="4"/>
  <c r="E453" i="4"/>
  <c r="E452" i="4"/>
  <c r="E449" i="4"/>
  <c r="E448" i="4"/>
  <c r="E447" i="4"/>
  <c r="E444" i="4"/>
  <c r="E443" i="4"/>
  <c r="E438" i="4"/>
  <c r="E428" i="4"/>
  <c r="E426" i="4"/>
  <c r="E422" i="4"/>
  <c r="E417" i="4"/>
  <c r="E412" i="4"/>
  <c r="E411" i="4"/>
  <c r="E408" i="4"/>
  <c r="E407" i="4"/>
  <c r="E406" i="4"/>
  <c r="E402" i="4"/>
  <c r="E396" i="4"/>
  <c r="E387" i="4"/>
  <c r="E386" i="4"/>
  <c r="E385" i="4"/>
  <c r="E382" i="4"/>
  <c r="E381" i="4"/>
  <c r="E380" i="4"/>
  <c r="E379" i="4"/>
  <c r="E378" i="4"/>
  <c r="E377" i="4"/>
  <c r="E376" i="4"/>
  <c r="E371" i="4"/>
  <c r="E370" i="4"/>
  <c r="E367" i="4"/>
  <c r="E366" i="4"/>
  <c r="E365" i="4"/>
  <c r="E360" i="4"/>
  <c r="E355" i="4"/>
  <c r="E350" i="4"/>
  <c r="E349" i="4"/>
  <c r="E346" i="4"/>
  <c r="E345" i="4"/>
  <c r="E344" i="4"/>
  <c r="E341" i="4"/>
  <c r="E340" i="4"/>
  <c r="E335" i="4"/>
  <c r="E325" i="4"/>
  <c r="E323" i="4"/>
  <c r="E319" i="4"/>
  <c r="E314" i="4"/>
  <c r="E309" i="4"/>
  <c r="E308" i="4"/>
  <c r="E305" i="4"/>
  <c r="E304" i="4"/>
  <c r="E303" i="4"/>
  <c r="E293" i="4"/>
  <c r="E290" i="4"/>
  <c r="E287" i="4"/>
  <c r="E286" i="4"/>
  <c r="E284" i="4"/>
  <c r="E283" i="4"/>
  <c r="E282" i="4"/>
  <c r="E281" i="4"/>
  <c r="E279" i="4"/>
  <c r="E278" i="4"/>
  <c r="E273" i="4"/>
  <c r="E263" i="4"/>
  <c r="E262" i="4"/>
  <c r="E261" i="4"/>
  <c r="E260" i="4"/>
  <c r="E258" i="4"/>
  <c r="E257" i="4"/>
  <c r="E256" i="4"/>
  <c r="E255" i="4"/>
  <c r="E254" i="4"/>
  <c r="E253" i="4"/>
  <c r="E252" i="4"/>
  <c r="E246" i="4"/>
  <c r="E243" i="4"/>
  <c r="E241" i="4"/>
  <c r="E240" i="4"/>
  <c r="E237" i="4"/>
  <c r="E231" i="4"/>
  <c r="E228" i="4"/>
  <c r="E225" i="4"/>
  <c r="E224" i="4"/>
  <c r="E222" i="4"/>
  <c r="E221" i="4"/>
  <c r="E220" i="4"/>
  <c r="E219" i="4"/>
  <c r="E216" i="4"/>
  <c r="E211" i="4"/>
  <c r="E208" i="4"/>
  <c r="E205" i="4"/>
  <c r="E204" i="4"/>
  <c r="E202" i="4"/>
  <c r="E201" i="4"/>
  <c r="E200" i="4"/>
  <c r="E198" i="4"/>
  <c r="E196" i="4"/>
  <c r="E195" i="4"/>
  <c r="E190" i="4"/>
  <c r="E181" i="4"/>
  <c r="E180" i="4"/>
  <c r="E179" i="4"/>
  <c r="E178" i="4"/>
  <c r="E176" i="4"/>
  <c r="E175" i="4"/>
  <c r="E174" i="4"/>
  <c r="E173" i="4"/>
  <c r="E172" i="4"/>
  <c r="E171" i="4"/>
  <c r="E170" i="4"/>
  <c r="E163" i="4"/>
  <c r="E160" i="4"/>
  <c r="E158" i="4"/>
  <c r="E157" i="4"/>
  <c r="E154" i="4"/>
  <c r="E149" i="4"/>
  <c r="E146" i="4"/>
  <c r="E143" i="4"/>
  <c r="E142" i="4"/>
  <c r="E140" i="4"/>
  <c r="E139" i="4"/>
  <c r="E138" i="4"/>
  <c r="E137" i="4"/>
  <c r="E134" i="4"/>
  <c r="E128" i="4"/>
  <c r="E125" i="4"/>
  <c r="E122" i="4"/>
  <c r="E121" i="4"/>
  <c r="E119" i="4"/>
  <c r="E118" i="4"/>
  <c r="E117" i="4"/>
  <c r="E116" i="4"/>
  <c r="E114" i="4"/>
  <c r="E113" i="4"/>
  <c r="E108" i="4"/>
  <c r="E98" i="4"/>
  <c r="E97" i="4"/>
  <c r="E96" i="4"/>
  <c r="E95" i="4"/>
  <c r="E93" i="4"/>
  <c r="E92" i="4"/>
  <c r="E91" i="4"/>
  <c r="E90" i="4"/>
  <c r="E89" i="4"/>
  <c r="E88" i="4"/>
  <c r="E87" i="4"/>
  <c r="E81" i="4"/>
  <c r="E78" i="4"/>
  <c r="E76" i="4"/>
  <c r="E75" i="4"/>
  <c r="E72" i="4"/>
  <c r="E66" i="4"/>
  <c r="E65" i="4"/>
  <c r="E63" i="4"/>
  <c r="E60" i="4"/>
  <c r="E59" i="4"/>
  <c r="E56" i="4"/>
  <c r="E55" i="4"/>
  <c r="E54" i="4"/>
  <c r="E51" i="4"/>
  <c r="E50" i="4"/>
  <c r="E46" i="4"/>
  <c r="E41" i="4"/>
  <c r="E39" i="4"/>
  <c r="E37" i="4"/>
  <c r="E36" i="4"/>
  <c r="E35" i="4"/>
  <c r="B48" i="4"/>
  <c r="E48" i="4" s="1"/>
  <c r="B50" i="4"/>
  <c r="B52" i="4"/>
  <c r="E52" i="4" s="1"/>
  <c r="B58" i="4"/>
  <c r="E58" i="4" s="1"/>
  <c r="B66" i="4"/>
  <c r="B495" i="4"/>
  <c r="E495" i="4" s="1"/>
  <c r="B494" i="4"/>
  <c r="E494" i="4" s="1"/>
  <c r="B493" i="4"/>
  <c r="B492" i="4"/>
  <c r="E492" i="4" s="1"/>
  <c r="B491" i="4"/>
  <c r="E491" i="4" s="1"/>
  <c r="B490" i="4"/>
  <c r="B489" i="4"/>
  <c r="B488" i="4"/>
  <c r="B487" i="4"/>
  <c r="E487" i="4" s="1"/>
  <c r="B486" i="4"/>
  <c r="E486" i="4" s="1"/>
  <c r="B485" i="4"/>
  <c r="B484" i="4"/>
  <c r="B483" i="4"/>
  <c r="B482" i="4"/>
  <c r="B481" i="4"/>
  <c r="B480" i="4"/>
  <c r="B479" i="4"/>
  <c r="B478" i="4"/>
  <c r="E478" i="4" s="1"/>
  <c r="B477" i="4"/>
  <c r="E477" i="4" s="1"/>
  <c r="B476" i="4"/>
  <c r="E476" i="4" s="1"/>
  <c r="B475" i="4"/>
  <c r="E475" i="4" s="1"/>
  <c r="B474" i="4"/>
  <c r="B473" i="4"/>
  <c r="B472" i="4"/>
  <c r="E472" i="4" s="1"/>
  <c r="B471" i="4"/>
  <c r="E471" i="4" s="1"/>
  <c r="B470" i="4"/>
  <c r="B469" i="4"/>
  <c r="B468" i="4"/>
  <c r="B467" i="4"/>
  <c r="E467" i="4" s="1"/>
  <c r="B466" i="4"/>
  <c r="E466" i="4" s="1"/>
  <c r="B465" i="4"/>
  <c r="E465" i="4" s="1"/>
  <c r="B464" i="4"/>
  <c r="B462" i="4"/>
  <c r="E462" i="4" s="1"/>
  <c r="B461" i="4"/>
  <c r="E461" i="4" s="1"/>
  <c r="B460" i="4"/>
  <c r="E460" i="4" s="1"/>
  <c r="B459" i="4"/>
  <c r="E459" i="4" s="1"/>
  <c r="B458" i="4"/>
  <c r="B457" i="4"/>
  <c r="E457" i="4" s="1"/>
  <c r="B456" i="4"/>
  <c r="E456" i="4" s="1"/>
  <c r="B455" i="4"/>
  <c r="E455" i="4" s="1"/>
  <c r="B454" i="4"/>
  <c r="E454" i="4" s="1"/>
  <c r="B453" i="4"/>
  <c r="B452" i="4"/>
  <c r="B451" i="4"/>
  <c r="E451" i="4" s="1"/>
  <c r="B450" i="4"/>
  <c r="E450" i="4" s="1"/>
  <c r="B449" i="4"/>
  <c r="B448" i="4"/>
  <c r="B447" i="4"/>
  <c r="B446" i="4"/>
  <c r="E446" i="4" s="1"/>
  <c r="B445" i="4"/>
  <c r="E445" i="4" s="1"/>
  <c r="B444" i="4"/>
  <c r="B443" i="4"/>
  <c r="B442" i="4"/>
  <c r="E442" i="4" s="1"/>
  <c r="B441" i="4"/>
  <c r="E441" i="4" s="1"/>
  <c r="B440" i="4"/>
  <c r="E440" i="4" s="1"/>
  <c r="B439" i="4"/>
  <c r="E439" i="4" s="1"/>
  <c r="B438" i="4"/>
  <c r="B437" i="4"/>
  <c r="E437" i="4" s="1"/>
  <c r="B436" i="4"/>
  <c r="E436" i="4" s="1"/>
  <c r="B435" i="4"/>
  <c r="E435" i="4" s="1"/>
  <c r="B434" i="4"/>
  <c r="E434" i="4" s="1"/>
  <c r="B433" i="4"/>
  <c r="E433" i="4" s="1"/>
  <c r="B432" i="4"/>
  <c r="E432" i="4" s="1"/>
  <c r="B431" i="4"/>
  <c r="E431" i="4" s="1"/>
  <c r="B429" i="4"/>
  <c r="E429" i="4" s="1"/>
  <c r="B428" i="4"/>
  <c r="B427" i="4"/>
  <c r="E427" i="4" s="1"/>
  <c r="B426" i="4"/>
  <c r="B425" i="4"/>
  <c r="E425" i="4" s="1"/>
  <c r="B424" i="4"/>
  <c r="E424" i="4" s="1"/>
  <c r="B423" i="4"/>
  <c r="E423" i="4" s="1"/>
  <c r="B422" i="4"/>
  <c r="B421" i="4"/>
  <c r="E421" i="4" s="1"/>
  <c r="B420" i="4"/>
  <c r="E420" i="4" s="1"/>
  <c r="B419" i="4"/>
  <c r="E419" i="4" s="1"/>
  <c r="B418" i="4"/>
  <c r="E418" i="4" s="1"/>
  <c r="B417" i="4"/>
  <c r="B416" i="4"/>
  <c r="E416" i="4" s="1"/>
  <c r="B415" i="4"/>
  <c r="E415" i="4" s="1"/>
  <c r="B414" i="4"/>
  <c r="E414" i="4" s="1"/>
  <c r="B413" i="4"/>
  <c r="E413" i="4" s="1"/>
  <c r="B412" i="4"/>
  <c r="B411" i="4"/>
  <c r="B410" i="4"/>
  <c r="E410" i="4" s="1"/>
  <c r="B409" i="4"/>
  <c r="E409" i="4" s="1"/>
  <c r="B408" i="4"/>
  <c r="B407" i="4"/>
  <c r="B406" i="4"/>
  <c r="B405" i="4"/>
  <c r="E405" i="4" s="1"/>
  <c r="B404" i="4"/>
  <c r="E404" i="4" s="1"/>
  <c r="B403" i="4"/>
  <c r="E403" i="4" s="1"/>
  <c r="B402" i="4"/>
  <c r="B401" i="4"/>
  <c r="E401" i="4" s="1"/>
  <c r="B400" i="4"/>
  <c r="E400" i="4" s="1"/>
  <c r="B399" i="4"/>
  <c r="E399" i="4" s="1"/>
  <c r="B398" i="4"/>
  <c r="E398" i="4" s="1"/>
  <c r="B396" i="4"/>
  <c r="B395" i="4"/>
  <c r="E395" i="4" s="1"/>
  <c r="B394" i="4"/>
  <c r="E394" i="4" s="1"/>
  <c r="B393" i="4"/>
  <c r="E393" i="4" s="1"/>
  <c r="B392" i="4"/>
  <c r="E392" i="4" s="1"/>
  <c r="B391" i="4"/>
  <c r="E391" i="4" s="1"/>
  <c r="B390" i="4"/>
  <c r="E390" i="4" s="1"/>
  <c r="B389" i="4"/>
  <c r="E389" i="4" s="1"/>
  <c r="B388" i="4"/>
  <c r="E388" i="4" s="1"/>
  <c r="B387" i="4"/>
  <c r="B386" i="4"/>
  <c r="B385" i="4"/>
  <c r="B384" i="4"/>
  <c r="E384" i="4" s="1"/>
  <c r="B383" i="4"/>
  <c r="E383" i="4" s="1"/>
  <c r="B382" i="4"/>
  <c r="B381" i="4"/>
  <c r="B380" i="4"/>
  <c r="B379" i="4"/>
  <c r="B378" i="4"/>
  <c r="B377" i="4"/>
  <c r="B376" i="4"/>
  <c r="B375" i="4"/>
  <c r="E375" i="4" s="1"/>
  <c r="B374" i="4"/>
  <c r="E374" i="4" s="1"/>
  <c r="B373" i="4"/>
  <c r="E373" i="4" s="1"/>
  <c r="B372" i="4"/>
  <c r="E372" i="4" s="1"/>
  <c r="B371" i="4"/>
  <c r="B370" i="4"/>
  <c r="B369" i="4"/>
  <c r="E369" i="4" s="1"/>
  <c r="B368" i="4"/>
  <c r="E368" i="4" s="1"/>
  <c r="B367" i="4"/>
  <c r="B366" i="4"/>
  <c r="B365" i="4"/>
  <c r="B363" i="4"/>
  <c r="E363" i="4" s="1"/>
  <c r="B362" i="4"/>
  <c r="E362" i="4" s="1"/>
  <c r="B361" i="4"/>
  <c r="E361" i="4" s="1"/>
  <c r="B360" i="4"/>
  <c r="B359" i="4"/>
  <c r="E359" i="4" s="1"/>
  <c r="B358" i="4"/>
  <c r="E358" i="4" s="1"/>
  <c r="B357" i="4"/>
  <c r="E357" i="4" s="1"/>
  <c r="B356" i="4"/>
  <c r="E356" i="4" s="1"/>
  <c r="B355" i="4"/>
  <c r="B354" i="4"/>
  <c r="E354" i="4" s="1"/>
  <c r="B353" i="4"/>
  <c r="E353" i="4" s="1"/>
  <c r="B352" i="4"/>
  <c r="E352" i="4" s="1"/>
  <c r="B351" i="4"/>
  <c r="E351" i="4" s="1"/>
  <c r="B350" i="4"/>
  <c r="B349" i="4"/>
  <c r="B348" i="4"/>
  <c r="E348" i="4" s="1"/>
  <c r="B347" i="4"/>
  <c r="E347" i="4" s="1"/>
  <c r="B346" i="4"/>
  <c r="B345" i="4"/>
  <c r="B344" i="4"/>
  <c r="B343" i="4"/>
  <c r="E343" i="4" s="1"/>
  <c r="B342" i="4"/>
  <c r="E342" i="4" s="1"/>
  <c r="B341" i="4"/>
  <c r="B340" i="4"/>
  <c r="B339" i="4"/>
  <c r="E339" i="4" s="1"/>
  <c r="B338" i="4"/>
  <c r="E338" i="4" s="1"/>
  <c r="B337" i="4"/>
  <c r="E337" i="4" s="1"/>
  <c r="B336" i="4"/>
  <c r="E336" i="4" s="1"/>
  <c r="B335" i="4"/>
  <c r="B334" i="4"/>
  <c r="E334" i="4" s="1"/>
  <c r="B333" i="4"/>
  <c r="E333" i="4" s="1"/>
  <c r="B332" i="4"/>
  <c r="E332" i="4" s="1"/>
  <c r="B330" i="4"/>
  <c r="E330" i="4" s="1"/>
  <c r="B329" i="4"/>
  <c r="E329" i="4" s="1"/>
  <c r="B328" i="4"/>
  <c r="E328" i="4" s="1"/>
  <c r="B327" i="4"/>
  <c r="E327" i="4" s="1"/>
  <c r="B326" i="4"/>
  <c r="E326" i="4" s="1"/>
  <c r="B325" i="4"/>
  <c r="B324" i="4"/>
  <c r="E324" i="4" s="1"/>
  <c r="B323" i="4"/>
  <c r="B322" i="4"/>
  <c r="E322" i="4" s="1"/>
  <c r="B321" i="4"/>
  <c r="E321" i="4" s="1"/>
  <c r="B320" i="4"/>
  <c r="E320" i="4" s="1"/>
  <c r="B319" i="4"/>
  <c r="B318" i="4"/>
  <c r="E318" i="4" s="1"/>
  <c r="B317" i="4"/>
  <c r="E317" i="4" s="1"/>
  <c r="B316" i="4"/>
  <c r="E316" i="4" s="1"/>
  <c r="B315" i="4"/>
  <c r="E315" i="4" s="1"/>
  <c r="B314" i="4"/>
  <c r="B313" i="4"/>
  <c r="E313" i="4" s="1"/>
  <c r="B312" i="4"/>
  <c r="E312" i="4" s="1"/>
  <c r="B311" i="4"/>
  <c r="E311" i="4" s="1"/>
  <c r="B310" i="4"/>
  <c r="E310" i="4" s="1"/>
  <c r="B309" i="4"/>
  <c r="B308" i="4"/>
  <c r="B307" i="4"/>
  <c r="E307" i="4" s="1"/>
  <c r="B306" i="4"/>
  <c r="E306" i="4" s="1"/>
  <c r="B305" i="4"/>
  <c r="B304" i="4"/>
  <c r="B303" i="4"/>
  <c r="B302" i="4"/>
  <c r="E302" i="4" s="1"/>
  <c r="B301" i="4"/>
  <c r="E301" i="4" s="1"/>
  <c r="B300" i="4"/>
  <c r="E300" i="4" s="1"/>
  <c r="B299" i="4"/>
  <c r="B297" i="4"/>
  <c r="E297" i="4" s="1"/>
  <c r="B296" i="4"/>
  <c r="E296" i="4" s="1"/>
  <c r="B295" i="4"/>
  <c r="E295" i="4" s="1"/>
  <c r="B294" i="4"/>
  <c r="E294" i="4" s="1"/>
  <c r="B293" i="4"/>
  <c r="B292" i="4"/>
  <c r="E292" i="4" s="1"/>
  <c r="B291" i="4"/>
  <c r="E291" i="4" s="1"/>
  <c r="B290" i="4"/>
  <c r="B289" i="4"/>
  <c r="E289" i="4" s="1"/>
  <c r="B288" i="4"/>
  <c r="E288" i="4" s="1"/>
  <c r="B287" i="4"/>
  <c r="B286" i="4"/>
  <c r="B285" i="4"/>
  <c r="E285" i="4" s="1"/>
  <c r="B284" i="4"/>
  <c r="B283" i="4"/>
  <c r="B282" i="4"/>
  <c r="B281" i="4"/>
  <c r="B280" i="4"/>
  <c r="E280" i="4" s="1"/>
  <c r="B279" i="4"/>
  <c r="B278" i="4"/>
  <c r="B277" i="4"/>
  <c r="E277" i="4" s="1"/>
  <c r="B276" i="4"/>
  <c r="E276" i="4" s="1"/>
  <c r="B275" i="4"/>
  <c r="E275" i="4" s="1"/>
  <c r="B274" i="4"/>
  <c r="E274" i="4" s="1"/>
  <c r="B273" i="4"/>
  <c r="B272" i="4"/>
  <c r="E272" i="4" s="1"/>
  <c r="B271" i="4"/>
  <c r="E271" i="4" s="1"/>
  <c r="B270" i="4"/>
  <c r="E270" i="4" s="1"/>
  <c r="B269" i="4"/>
  <c r="E269" i="4" s="1"/>
  <c r="B268" i="4"/>
  <c r="E268" i="4" s="1"/>
  <c r="B267" i="4"/>
  <c r="E267" i="4" s="1"/>
  <c r="B266" i="4"/>
  <c r="E266" i="4" s="1"/>
  <c r="B264" i="4"/>
  <c r="E264" i="4" s="1"/>
  <c r="B263" i="4"/>
  <c r="B262" i="4"/>
  <c r="B261" i="4"/>
  <c r="B260" i="4"/>
  <c r="B259" i="4"/>
  <c r="E259" i="4" s="1"/>
  <c r="B258" i="4"/>
  <c r="B257" i="4"/>
  <c r="B256" i="4"/>
  <c r="B255" i="4"/>
  <c r="B254" i="4"/>
  <c r="B253" i="4"/>
  <c r="B252" i="4"/>
  <c r="B251" i="4"/>
  <c r="E251" i="4" s="1"/>
  <c r="B250" i="4"/>
  <c r="E250" i="4" s="1"/>
  <c r="B249" i="4"/>
  <c r="E249" i="4" s="1"/>
  <c r="B248" i="4"/>
  <c r="E248" i="4" s="1"/>
  <c r="B247" i="4"/>
  <c r="E247" i="4" s="1"/>
  <c r="B246" i="4"/>
  <c r="B245" i="4"/>
  <c r="E245" i="4" s="1"/>
  <c r="B244" i="4"/>
  <c r="E244" i="4" s="1"/>
  <c r="B243" i="4"/>
  <c r="B242" i="4"/>
  <c r="E242" i="4" s="1"/>
  <c r="B241" i="4"/>
  <c r="B240" i="4"/>
  <c r="B239" i="4"/>
  <c r="E239" i="4" s="1"/>
  <c r="B238" i="4"/>
  <c r="E238" i="4" s="1"/>
  <c r="B237" i="4"/>
  <c r="B236" i="4"/>
  <c r="E236" i="4" s="1"/>
  <c r="B235" i="4"/>
  <c r="E235" i="4" s="1"/>
  <c r="B234" i="4"/>
  <c r="E234" i="4" s="1"/>
  <c r="B233" i="4"/>
  <c r="E233" i="4" s="1"/>
  <c r="B231" i="4"/>
  <c r="B230" i="4"/>
  <c r="E230" i="4" s="1"/>
  <c r="B229" i="4"/>
  <c r="E229" i="4" s="1"/>
  <c r="B228" i="4"/>
  <c r="B227" i="4"/>
  <c r="E227" i="4" s="1"/>
  <c r="B226" i="4"/>
  <c r="E226" i="4" s="1"/>
  <c r="B225" i="4"/>
  <c r="B224" i="4"/>
  <c r="B223" i="4"/>
  <c r="E223" i="4" s="1"/>
  <c r="B222" i="4"/>
  <c r="B221" i="4"/>
  <c r="B220" i="4"/>
  <c r="B219" i="4"/>
  <c r="B218" i="4"/>
  <c r="E218" i="4" s="1"/>
  <c r="B217" i="4"/>
  <c r="E217" i="4" s="1"/>
  <c r="B216" i="4"/>
  <c r="B215" i="4"/>
  <c r="E215" i="4" s="1"/>
  <c r="B214" i="4"/>
  <c r="E214" i="4" s="1"/>
  <c r="B213" i="4"/>
  <c r="E213" i="4" s="1"/>
  <c r="B212" i="4"/>
  <c r="E212" i="4" s="1"/>
  <c r="B211" i="4"/>
  <c r="B210" i="4"/>
  <c r="E210" i="4" s="1"/>
  <c r="B209" i="4"/>
  <c r="E209" i="4" s="1"/>
  <c r="B208" i="4"/>
  <c r="B207" i="4"/>
  <c r="E207" i="4" s="1"/>
  <c r="B206" i="4"/>
  <c r="E206" i="4" s="1"/>
  <c r="B205" i="4"/>
  <c r="B204" i="4"/>
  <c r="B203" i="4"/>
  <c r="E203" i="4" s="1"/>
  <c r="B202" i="4"/>
  <c r="B201" i="4"/>
  <c r="B200" i="4"/>
  <c r="B198" i="4"/>
  <c r="B197" i="4"/>
  <c r="E197" i="4" s="1"/>
  <c r="B196" i="4"/>
  <c r="B195" i="4"/>
  <c r="B194" i="4"/>
  <c r="E194" i="4" s="1"/>
  <c r="B193" i="4"/>
  <c r="E193" i="4" s="1"/>
  <c r="B192" i="4"/>
  <c r="E192" i="4" s="1"/>
  <c r="B191" i="4"/>
  <c r="E191" i="4" s="1"/>
  <c r="B190" i="4"/>
  <c r="B189" i="4"/>
  <c r="E189" i="4" s="1"/>
  <c r="B188" i="4"/>
  <c r="E188" i="4" s="1"/>
  <c r="B187" i="4"/>
  <c r="E187" i="4" s="1"/>
  <c r="B186" i="4"/>
  <c r="E186" i="4" s="1"/>
  <c r="B185" i="4"/>
  <c r="E185" i="4" s="1"/>
  <c r="B184" i="4"/>
  <c r="E184" i="4" s="1"/>
  <c r="B183" i="4"/>
  <c r="E183" i="4" s="1"/>
  <c r="B182" i="4"/>
  <c r="E182" i="4" s="1"/>
  <c r="B181" i="4"/>
  <c r="B180" i="4"/>
  <c r="B179" i="4"/>
  <c r="B178" i="4"/>
  <c r="B177" i="4"/>
  <c r="E177" i="4" s="1"/>
  <c r="B176" i="4"/>
  <c r="B175" i="4"/>
  <c r="B174" i="4"/>
  <c r="B173" i="4"/>
  <c r="B172" i="4"/>
  <c r="B171" i="4"/>
  <c r="B170" i="4"/>
  <c r="B169" i="4"/>
  <c r="E169" i="4" s="1"/>
  <c r="B168" i="4"/>
  <c r="E168" i="4" s="1"/>
  <c r="B167" i="4"/>
  <c r="E167" i="4" s="1"/>
  <c r="B165" i="4"/>
  <c r="E165" i="4" s="1"/>
  <c r="B164" i="4"/>
  <c r="E164" i="4" s="1"/>
  <c r="B163" i="4"/>
  <c r="B162" i="4"/>
  <c r="E162" i="4" s="1"/>
  <c r="B161" i="4"/>
  <c r="E161" i="4" s="1"/>
  <c r="B160" i="4"/>
  <c r="B159" i="4"/>
  <c r="E159" i="4" s="1"/>
  <c r="B158" i="4"/>
  <c r="B157" i="4"/>
  <c r="B156" i="4"/>
  <c r="E156" i="4" s="1"/>
  <c r="B155" i="4"/>
  <c r="E155" i="4" s="1"/>
  <c r="B154" i="4"/>
  <c r="B153" i="4"/>
  <c r="E153" i="4" s="1"/>
  <c r="B152" i="4"/>
  <c r="E152" i="4" s="1"/>
  <c r="B151" i="4"/>
  <c r="E151" i="4" s="1"/>
  <c r="B150" i="4"/>
  <c r="E150" i="4" s="1"/>
  <c r="B149" i="4"/>
  <c r="B148" i="4"/>
  <c r="E148" i="4" s="1"/>
  <c r="B147" i="4"/>
  <c r="E147" i="4" s="1"/>
  <c r="B146" i="4"/>
  <c r="B145" i="4"/>
  <c r="E145" i="4" s="1"/>
  <c r="B144" i="4"/>
  <c r="E144" i="4" s="1"/>
  <c r="B143" i="4"/>
  <c r="B142" i="4"/>
  <c r="B141" i="4"/>
  <c r="E141" i="4" s="1"/>
  <c r="B140" i="4"/>
  <c r="B139" i="4"/>
  <c r="B138" i="4"/>
  <c r="B137" i="4"/>
  <c r="B136" i="4"/>
  <c r="E136" i="4" s="1"/>
  <c r="B135" i="4"/>
  <c r="E135" i="4" s="1"/>
  <c r="B134" i="4"/>
  <c r="B132" i="4"/>
  <c r="E132" i="4" s="1"/>
  <c r="B131" i="4"/>
  <c r="E131" i="4" s="1"/>
  <c r="B130" i="4"/>
  <c r="E130" i="4" s="1"/>
  <c r="B129" i="4"/>
  <c r="E129" i="4" s="1"/>
  <c r="B128" i="4"/>
  <c r="B127" i="4"/>
  <c r="E127" i="4" s="1"/>
  <c r="B126" i="4"/>
  <c r="E126" i="4" s="1"/>
  <c r="B125" i="4"/>
  <c r="B124" i="4"/>
  <c r="E124" i="4" s="1"/>
  <c r="B123" i="4"/>
  <c r="E123" i="4" s="1"/>
  <c r="B122" i="4"/>
  <c r="B121" i="4"/>
  <c r="B120" i="4"/>
  <c r="E120" i="4" s="1"/>
  <c r="B119" i="4"/>
  <c r="B118" i="4"/>
  <c r="B117" i="4"/>
  <c r="B116" i="4"/>
  <c r="B115" i="4"/>
  <c r="E115" i="4" s="1"/>
  <c r="B114" i="4"/>
  <c r="B113" i="4"/>
  <c r="B112" i="4"/>
  <c r="E112" i="4" s="1"/>
  <c r="B111" i="4"/>
  <c r="E111" i="4" s="1"/>
  <c r="B110" i="4"/>
  <c r="E110" i="4" s="1"/>
  <c r="B109" i="4"/>
  <c r="E109" i="4" s="1"/>
  <c r="B108" i="4"/>
  <c r="B107" i="4"/>
  <c r="E107" i="4" s="1"/>
  <c r="B106" i="4"/>
  <c r="E106" i="4" s="1"/>
  <c r="B105" i="4"/>
  <c r="E105" i="4" s="1"/>
  <c r="B104" i="4"/>
  <c r="E104" i="4" s="1"/>
  <c r="B103" i="4"/>
  <c r="E103" i="4" s="1"/>
  <c r="B102" i="4"/>
  <c r="E102" i="4" s="1"/>
  <c r="B101" i="4"/>
  <c r="E101" i="4" s="1"/>
  <c r="B99" i="4"/>
  <c r="E99" i="4" s="1"/>
  <c r="B98" i="4"/>
  <c r="B97" i="4"/>
  <c r="B96" i="4"/>
  <c r="B95" i="4"/>
  <c r="B94" i="4"/>
  <c r="E94" i="4" s="1"/>
  <c r="B93" i="4"/>
  <c r="B92" i="4"/>
  <c r="B91" i="4"/>
  <c r="B90" i="4"/>
  <c r="B89" i="4"/>
  <c r="B88" i="4"/>
  <c r="B87" i="4"/>
  <c r="B86" i="4"/>
  <c r="E86" i="4" s="1"/>
  <c r="B85" i="4"/>
  <c r="E85" i="4" s="1"/>
  <c r="B84" i="4"/>
  <c r="E84" i="4" s="1"/>
  <c r="B83" i="4"/>
  <c r="E83" i="4" s="1"/>
  <c r="B82" i="4"/>
  <c r="E82" i="4" s="1"/>
  <c r="B81" i="4"/>
  <c r="B80" i="4"/>
  <c r="E80" i="4" s="1"/>
  <c r="B79" i="4"/>
  <c r="E79" i="4" s="1"/>
  <c r="B78" i="4"/>
  <c r="B77" i="4"/>
  <c r="E77" i="4" s="1"/>
  <c r="B76" i="4"/>
  <c r="B75" i="4"/>
  <c r="B74" i="4"/>
  <c r="E74" i="4" s="1"/>
  <c r="B73" i="4"/>
  <c r="E73" i="4" s="1"/>
  <c r="B72" i="4"/>
  <c r="B71" i="4"/>
  <c r="E71" i="4" s="1"/>
  <c r="B70" i="4"/>
  <c r="E70" i="4" s="1"/>
  <c r="B69" i="4"/>
  <c r="E69" i="4" s="1"/>
  <c r="B68" i="4"/>
  <c r="E68" i="4" s="1"/>
  <c r="B65" i="4"/>
  <c r="B64" i="4"/>
  <c r="E64" i="4" s="1"/>
  <c r="B63" i="4"/>
  <c r="B62" i="4"/>
  <c r="E62" i="4" s="1"/>
  <c r="B61" i="4"/>
  <c r="E61" i="4" s="1"/>
  <c r="B60" i="4"/>
  <c r="B59" i="4"/>
  <c r="B57" i="4"/>
  <c r="E57" i="4" s="1"/>
  <c r="B56" i="4"/>
  <c r="B55" i="4"/>
  <c r="B54" i="4"/>
  <c r="B53" i="4"/>
  <c r="E53" i="4" s="1"/>
  <c r="B51" i="4"/>
  <c r="B49" i="4"/>
  <c r="E49" i="4" s="1"/>
  <c r="B47" i="4"/>
  <c r="E47" i="4" s="1"/>
  <c r="B46" i="4"/>
  <c r="B45" i="4"/>
  <c r="E45" i="4" s="1"/>
  <c r="B44" i="4"/>
  <c r="E44" i="4" s="1"/>
  <c r="B43" i="4"/>
  <c r="E43" i="4" s="1"/>
  <c r="B42" i="4"/>
  <c r="E42" i="4" s="1"/>
  <c r="B41" i="4"/>
  <c r="B40" i="4"/>
  <c r="E40" i="4" s="1"/>
  <c r="B39" i="4"/>
  <c r="B38" i="4"/>
  <c r="E38" i="4" s="1"/>
  <c r="B37" i="4"/>
  <c r="B36" i="4"/>
  <c r="B35" i="4"/>
  <c r="E3" i="4"/>
  <c r="E4" i="4"/>
  <c r="E13" i="4"/>
  <c r="E15" i="4"/>
  <c r="E17" i="4"/>
  <c r="E18" i="4"/>
  <c r="E19" i="4"/>
  <c r="E20" i="4"/>
  <c r="E21" i="4"/>
  <c r="E22" i="4"/>
  <c r="E23" i="4"/>
  <c r="E24" i="4"/>
  <c r="E26" i="4"/>
  <c r="E33" i="4"/>
  <c r="B3" i="4"/>
  <c r="B4" i="4"/>
  <c r="B5" i="4"/>
  <c r="E5" i="4" s="1"/>
  <c r="B6" i="4"/>
  <c r="E6" i="4" s="1"/>
  <c r="B7" i="4"/>
  <c r="E7" i="4" s="1"/>
  <c r="B8" i="4"/>
  <c r="E8" i="4" s="1"/>
  <c r="B9" i="4"/>
  <c r="E9" i="4" s="1"/>
  <c r="B10" i="4"/>
  <c r="E10" i="4" s="1"/>
  <c r="B11" i="4"/>
  <c r="E11" i="4" s="1"/>
  <c r="B12" i="4"/>
  <c r="E12" i="4" s="1"/>
  <c r="B13" i="4"/>
  <c r="B14" i="4"/>
  <c r="E14" i="4" s="1"/>
  <c r="B15" i="4"/>
  <c r="B16" i="4"/>
  <c r="E16" i="4" s="1"/>
  <c r="B17" i="4"/>
  <c r="B18" i="4"/>
  <c r="B19" i="4"/>
  <c r="B20" i="4"/>
  <c r="B21" i="4"/>
  <c r="B22" i="4"/>
  <c r="B23" i="4"/>
  <c r="B24" i="4"/>
  <c r="B25" i="4"/>
  <c r="E25" i="4" s="1"/>
  <c r="B26" i="4"/>
  <c r="B27" i="4"/>
  <c r="E27" i="4" s="1"/>
  <c r="B28" i="4"/>
  <c r="E28" i="4" s="1"/>
  <c r="B29" i="4"/>
  <c r="E29" i="4" s="1"/>
  <c r="B30" i="4"/>
  <c r="E30" i="4" s="1"/>
  <c r="B31" i="4"/>
  <c r="E31" i="4" s="1"/>
  <c r="B32" i="4"/>
  <c r="E32" i="4" s="1"/>
  <c r="B33" i="4"/>
  <c r="B2" i="4"/>
  <c r="E2" i="4" s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G419" i="1" s="1"/>
  <c r="F420" i="1"/>
  <c r="G420" i="1" s="1"/>
  <c r="F421" i="1"/>
  <c r="F422" i="1"/>
  <c r="G422" i="1" s="1"/>
  <c r="F423" i="1"/>
  <c r="G423" i="1" s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G639" i="1" s="1"/>
  <c r="F640" i="1"/>
  <c r="G640" i="1" s="1"/>
  <c r="F641" i="1"/>
  <c r="G641" i="1" s="1"/>
  <c r="F642" i="1"/>
  <c r="G642" i="1" s="1"/>
  <c r="F643" i="1"/>
  <c r="G643" i="1" s="1"/>
  <c r="F666" i="1"/>
  <c r="G666" i="1" s="1"/>
  <c r="F665" i="1"/>
  <c r="G665" i="1" s="1"/>
  <c r="F664" i="1"/>
  <c r="G664" i="1" s="1"/>
  <c r="F663" i="1"/>
  <c r="G663" i="1" s="1"/>
  <c r="F662" i="1"/>
  <c r="G662" i="1" s="1"/>
  <c r="F661" i="1"/>
  <c r="G661" i="1" s="1"/>
  <c r="F660" i="1"/>
  <c r="G660" i="1" s="1"/>
  <c r="F659" i="1"/>
  <c r="G659" i="1" s="1"/>
  <c r="F658" i="1"/>
  <c r="G658" i="1" s="1"/>
  <c r="F657" i="1"/>
  <c r="G657" i="1" s="1"/>
  <c r="F656" i="1"/>
  <c r="G656" i="1" s="1"/>
  <c r="F655" i="1"/>
  <c r="G655" i="1" s="1"/>
  <c r="F654" i="1"/>
  <c r="F653" i="1"/>
  <c r="F652" i="1"/>
  <c r="F651" i="1"/>
  <c r="F650" i="1"/>
  <c r="F649" i="1"/>
  <c r="F648" i="1"/>
  <c r="F647" i="1"/>
  <c r="G421" i="1"/>
  <c r="F666" i="3"/>
  <c r="G666" i="3" s="1"/>
  <c r="F665" i="3"/>
  <c r="G665" i="3" s="1"/>
  <c r="F664" i="3"/>
  <c r="G664" i="3" s="1"/>
  <c r="F663" i="3"/>
  <c r="G663" i="3" s="1"/>
  <c r="F662" i="3"/>
  <c r="G662" i="3" s="1"/>
  <c r="F661" i="3"/>
  <c r="G661" i="3" s="1"/>
  <c r="F660" i="3"/>
  <c r="G660" i="3" s="1"/>
  <c r="F659" i="3"/>
  <c r="G659" i="3" s="1"/>
  <c r="F658" i="3"/>
  <c r="G658" i="3" s="1"/>
  <c r="F657" i="3"/>
  <c r="G657" i="3" s="1"/>
  <c r="F656" i="3"/>
  <c r="G656" i="3" s="1"/>
  <c r="F655" i="3"/>
  <c r="F654" i="3"/>
  <c r="F653" i="3"/>
  <c r="F652" i="3"/>
  <c r="F651" i="3"/>
  <c r="F650" i="3"/>
  <c r="F649" i="3"/>
  <c r="F648" i="3"/>
  <c r="F647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G181" i="3" s="1"/>
  <c r="F182" i="3"/>
  <c r="G182" i="3" s="1"/>
  <c r="F183" i="3"/>
  <c r="G183" i="3" s="1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G199" i="3" s="1"/>
  <c r="F200" i="3"/>
  <c r="G200" i="3" s="1"/>
  <c r="F201" i="3"/>
  <c r="G201" i="3" s="1"/>
  <c r="F202" i="3"/>
  <c r="G202" i="3" s="1"/>
  <c r="F203" i="3"/>
  <c r="G203" i="3" s="1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G219" i="3" s="1"/>
  <c r="F220" i="3"/>
  <c r="G220" i="3" s="1"/>
  <c r="F221" i="3"/>
  <c r="G221" i="3" s="1"/>
  <c r="F222" i="3"/>
  <c r="G222" i="3" s="1"/>
  <c r="F223" i="3"/>
  <c r="G223" i="3" s="1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G239" i="3" s="1"/>
  <c r="F240" i="3"/>
  <c r="G240" i="3" s="1"/>
  <c r="F241" i="3"/>
  <c r="G241" i="3" s="1"/>
  <c r="F242" i="3"/>
  <c r="G242" i="3" s="1"/>
  <c r="F243" i="3"/>
  <c r="G243" i="3" s="1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G259" i="3" s="1"/>
  <c r="F260" i="3"/>
  <c r="G260" i="3" s="1"/>
  <c r="F261" i="3"/>
  <c r="G261" i="3" s="1"/>
  <c r="F262" i="3"/>
  <c r="G262" i="3" s="1"/>
  <c r="F263" i="3"/>
  <c r="G263" i="3" s="1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G279" i="3" s="1"/>
  <c r="F280" i="3"/>
  <c r="G280" i="3" s="1"/>
  <c r="F281" i="3"/>
  <c r="G281" i="3" s="1"/>
  <c r="F282" i="3"/>
  <c r="G282" i="3" s="1"/>
  <c r="F283" i="3"/>
  <c r="G283" i="3" s="1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G299" i="3" s="1"/>
  <c r="F300" i="3"/>
  <c r="G300" i="3" s="1"/>
  <c r="F301" i="3"/>
  <c r="G301" i="3" s="1"/>
  <c r="F302" i="3"/>
  <c r="G302" i="3" s="1"/>
  <c r="F303" i="3"/>
  <c r="G303" i="3" s="1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G319" i="3" s="1"/>
  <c r="F320" i="3"/>
  <c r="G320" i="3" s="1"/>
  <c r="F321" i="3"/>
  <c r="G321" i="3" s="1"/>
  <c r="F322" i="3"/>
  <c r="G322" i="3" s="1"/>
  <c r="F323" i="3"/>
  <c r="G323" i="3" s="1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G339" i="3" s="1"/>
  <c r="F340" i="3"/>
  <c r="G340" i="3" s="1"/>
  <c r="F341" i="3"/>
  <c r="G341" i="3" s="1"/>
  <c r="F342" i="3"/>
  <c r="G342" i="3" s="1"/>
  <c r="F343" i="3"/>
  <c r="G343" i="3" s="1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G359" i="3" s="1"/>
  <c r="F360" i="3"/>
  <c r="G360" i="3" s="1"/>
  <c r="F361" i="3"/>
  <c r="G361" i="3" s="1"/>
  <c r="F362" i="3"/>
  <c r="G362" i="3" s="1"/>
  <c r="F363" i="3"/>
  <c r="G363" i="3" s="1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G379" i="3" s="1"/>
  <c r="F380" i="3"/>
  <c r="G380" i="3" s="1"/>
  <c r="F381" i="3"/>
  <c r="G381" i="3" s="1"/>
  <c r="F382" i="3"/>
  <c r="G382" i="3" s="1"/>
  <c r="F383" i="3"/>
  <c r="G383" i="3" s="1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G399" i="3" s="1"/>
  <c r="F400" i="3"/>
  <c r="G400" i="3" s="1"/>
  <c r="F401" i="3"/>
  <c r="G401" i="3" s="1"/>
  <c r="F402" i="3"/>
  <c r="G402" i="3" s="1"/>
  <c r="F403" i="3"/>
  <c r="G403" i="3" s="1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G419" i="3" s="1"/>
  <c r="F420" i="3"/>
  <c r="G420" i="3" s="1"/>
  <c r="F421" i="3"/>
  <c r="G421" i="3" s="1"/>
  <c r="F422" i="3"/>
  <c r="G422" i="3" s="1"/>
  <c r="F423" i="3"/>
  <c r="G423" i="3" s="1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G439" i="3" s="1"/>
  <c r="F440" i="3"/>
  <c r="G440" i="3" s="1"/>
  <c r="F441" i="3"/>
  <c r="G441" i="3" s="1"/>
  <c r="F442" i="3"/>
  <c r="G442" i="3" s="1"/>
  <c r="F443" i="3"/>
  <c r="G443" i="3" s="1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G459" i="3" s="1"/>
  <c r="F460" i="3"/>
  <c r="G460" i="3" s="1"/>
  <c r="F461" i="3"/>
  <c r="G461" i="3" s="1"/>
  <c r="F462" i="3"/>
  <c r="G462" i="3" s="1"/>
  <c r="F463" i="3"/>
  <c r="G463" i="3" s="1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G479" i="3" s="1"/>
  <c r="F480" i="3"/>
  <c r="G480" i="3" s="1"/>
  <c r="F481" i="3"/>
  <c r="G481" i="3" s="1"/>
  <c r="F482" i="3"/>
  <c r="G482" i="3" s="1"/>
  <c r="F483" i="3"/>
  <c r="G483" i="3" s="1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G499" i="3" s="1"/>
  <c r="F500" i="3"/>
  <c r="F501" i="3"/>
  <c r="G501" i="3" s="1"/>
  <c r="F502" i="3"/>
  <c r="G502" i="3" s="1"/>
  <c r="F503" i="3"/>
  <c r="G503" i="3" s="1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G519" i="3" s="1"/>
  <c r="F520" i="3"/>
  <c r="G520" i="3" s="1"/>
  <c r="F521" i="3"/>
  <c r="G521" i="3" s="1"/>
  <c r="F522" i="3"/>
  <c r="G522" i="3" s="1"/>
  <c r="F523" i="3"/>
  <c r="G523" i="3" s="1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G539" i="3" s="1"/>
  <c r="F540" i="3"/>
  <c r="G540" i="3" s="1"/>
  <c r="F541" i="3"/>
  <c r="G541" i="3" s="1"/>
  <c r="F542" i="3"/>
  <c r="G542" i="3" s="1"/>
  <c r="F543" i="3"/>
  <c r="G543" i="3" s="1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G559" i="3" s="1"/>
  <c r="F560" i="3"/>
  <c r="G560" i="3" s="1"/>
  <c r="F561" i="3"/>
  <c r="G561" i="3" s="1"/>
  <c r="F562" i="3"/>
  <c r="G562" i="3" s="1"/>
  <c r="F563" i="3"/>
  <c r="G563" i="3" s="1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G580" i="3" s="1"/>
  <c r="F581" i="3"/>
  <c r="G581" i="3" s="1"/>
  <c r="F582" i="3"/>
  <c r="G582" i="3" s="1"/>
  <c r="F583" i="3"/>
  <c r="G583" i="3" s="1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G599" i="3" s="1"/>
  <c r="F600" i="3"/>
  <c r="G600" i="3" s="1"/>
  <c r="F601" i="3"/>
  <c r="G601" i="3" s="1"/>
  <c r="F602" i="3"/>
  <c r="G602" i="3" s="1"/>
  <c r="F603" i="3"/>
  <c r="G603" i="3" s="1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G619" i="3" s="1"/>
  <c r="F620" i="3"/>
  <c r="G620" i="3" s="1"/>
  <c r="F621" i="3"/>
  <c r="G621" i="3" s="1"/>
  <c r="F622" i="3"/>
  <c r="G622" i="3" s="1"/>
  <c r="F623" i="3"/>
  <c r="G623" i="3" s="1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G639" i="3" s="1"/>
  <c r="F640" i="3"/>
  <c r="G640" i="3" s="1"/>
  <c r="F641" i="3"/>
  <c r="G641" i="3" s="1"/>
  <c r="F642" i="3"/>
  <c r="G642" i="3" s="1"/>
  <c r="F643" i="3"/>
  <c r="G643" i="3" s="1"/>
  <c r="G579" i="3"/>
  <c r="G500" i="3"/>
  <c r="G180" i="3"/>
  <c r="G179" i="3"/>
  <c r="G139" i="3" l="1"/>
  <c r="G140" i="3"/>
  <c r="G141" i="3"/>
  <c r="G142" i="3"/>
  <c r="G143" i="3"/>
  <c r="G159" i="3"/>
  <c r="G160" i="3"/>
  <c r="G161" i="3"/>
  <c r="G162" i="3"/>
  <c r="G163" i="3"/>
  <c r="G59" i="3"/>
  <c r="G41" i="3"/>
  <c r="G139" i="1"/>
  <c r="G140" i="1"/>
  <c r="G141" i="1"/>
  <c r="G142" i="1"/>
  <c r="G143" i="1"/>
  <c r="G159" i="1"/>
  <c r="G160" i="1"/>
  <c r="G161" i="1"/>
  <c r="G162" i="1"/>
  <c r="G163" i="1"/>
  <c r="F6" i="3"/>
  <c r="G19" i="3"/>
  <c r="G20" i="3"/>
  <c r="G21" i="3"/>
  <c r="G22" i="3"/>
  <c r="G23" i="3"/>
  <c r="G39" i="3"/>
  <c r="G40" i="3"/>
  <c r="G42" i="3"/>
  <c r="G43" i="3"/>
  <c r="G60" i="3"/>
  <c r="G61" i="3"/>
  <c r="G62" i="3"/>
  <c r="G63" i="3"/>
  <c r="G79" i="3"/>
  <c r="G80" i="3"/>
  <c r="G81" i="3"/>
  <c r="G82" i="3"/>
  <c r="G83" i="3"/>
  <c r="G99" i="3"/>
  <c r="G100" i="3"/>
  <c r="G101" i="3"/>
  <c r="G102" i="3"/>
  <c r="G103" i="3"/>
  <c r="G119" i="3"/>
  <c r="G120" i="3"/>
  <c r="G121" i="3"/>
  <c r="G122" i="3"/>
  <c r="G123" i="3"/>
  <c r="G39" i="1"/>
  <c r="G40" i="1"/>
  <c r="G41" i="1"/>
  <c r="G42" i="1"/>
  <c r="G43" i="1"/>
  <c r="G59" i="1"/>
  <c r="G60" i="1"/>
  <c r="G61" i="1"/>
  <c r="G62" i="1"/>
  <c r="G63" i="1"/>
  <c r="G79" i="1"/>
  <c r="G80" i="1"/>
  <c r="G81" i="1"/>
  <c r="G82" i="1"/>
  <c r="G83" i="1"/>
  <c r="G99" i="1"/>
  <c r="G100" i="1"/>
  <c r="G101" i="1"/>
  <c r="G102" i="1"/>
  <c r="G103" i="1"/>
  <c r="G119" i="1"/>
  <c r="G120" i="1"/>
  <c r="G121" i="1"/>
  <c r="G122" i="1"/>
  <c r="G123" i="1"/>
  <c r="F5" i="1"/>
  <c r="F5" i="3"/>
  <c r="F4" i="1" l="1"/>
  <c r="F4" i="3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G19" i="1"/>
  <c r="G20" i="1"/>
  <c r="G21" i="1"/>
  <c r="G22" i="1"/>
  <c r="G23" i="1"/>
</calcChain>
</file>

<file path=xl/sharedStrings.xml><?xml version="1.0" encoding="utf-8"?>
<sst xmlns="http://schemas.openxmlformats.org/spreadsheetml/2006/main" count="5250" uniqueCount="2246">
  <si>
    <t>Address (HEX)</t>
    <phoneticPr fontId="3" type="noConversion"/>
  </si>
  <si>
    <t>Variable</t>
    <phoneticPr fontId="3" type="noConversion"/>
  </si>
  <si>
    <t>Description</t>
    <phoneticPr fontId="3" type="noConversion"/>
  </si>
  <si>
    <t>Unit</t>
    <phoneticPr fontId="3" type="noConversion"/>
  </si>
  <si>
    <t>1or0</t>
  </si>
  <si>
    <t>1or0</t>
    <phoneticPr fontId="3" type="noConversion"/>
  </si>
  <si>
    <t>Address (DEC)</t>
    <phoneticPr fontId="3" type="noConversion"/>
  </si>
  <si>
    <t>Axis Status</t>
    <phoneticPr fontId="3" type="noConversion"/>
  </si>
  <si>
    <t>Group</t>
    <phoneticPr fontId="3" type="noConversion"/>
  </si>
  <si>
    <t>msec</t>
    <phoneticPr fontId="3" type="noConversion"/>
  </si>
  <si>
    <t>Check</t>
    <phoneticPr fontId="3" type="noConversion"/>
  </si>
  <si>
    <t>Address(DEC)</t>
    <phoneticPr fontId="3" type="noConversion"/>
  </si>
  <si>
    <t>Address(HEX)</t>
    <phoneticPr fontId="3" type="noConversion"/>
  </si>
  <si>
    <t>Motor Command</t>
    <phoneticPr fontId="3" type="noConversion"/>
  </si>
  <si>
    <t>um</t>
    <phoneticPr fontId="3" type="noConversion"/>
  </si>
  <si>
    <t>um/sec</t>
    <phoneticPr fontId="3" type="noConversion"/>
  </si>
  <si>
    <t>pUmem_Sta_01_CmdPos</t>
  </si>
  <si>
    <t>pUmem_Sta_01_ActPos</t>
  </si>
  <si>
    <t xml:space="preserve">pUmem_Sta_01_Load </t>
  </si>
  <si>
    <t>pUmem_Sta_01_AmpEna</t>
  </si>
  <si>
    <t>pUmem_Sta_01_InPos</t>
  </si>
  <si>
    <t>pUmem_Sta_01_HomeFin</t>
  </si>
  <si>
    <t>pUmem_Sta_01_HomeIng</t>
  </si>
  <si>
    <t>pUmem_Sta_01_LimitMinus</t>
  </si>
  <si>
    <t>pUmem_Sta_01_LimitPlus</t>
  </si>
  <si>
    <t>pUmem_Sta_01_FollowingErr</t>
  </si>
  <si>
    <t>pUmem_Sta_01_AmpFault</t>
  </si>
  <si>
    <t>pUmem_Sta_02_CmdPos</t>
  </si>
  <si>
    <t>pUmem_Sta_02_ActPos</t>
  </si>
  <si>
    <t>pUmem_Sta_02_Velocity</t>
  </si>
  <si>
    <t xml:space="preserve">pUmem_Sta_02_Load </t>
  </si>
  <si>
    <t>pUmem_Sta_02_AmpEna</t>
  </si>
  <si>
    <t>pUmem_Sta_02_InPos</t>
  </si>
  <si>
    <t>pUmem_Sta_02_HomeFin</t>
  </si>
  <si>
    <t>pUmem_Sta_02_HomeIng</t>
  </si>
  <si>
    <t>pUmem_Sta_02_LimitMinus</t>
  </si>
  <si>
    <t>pUmem_Sta_02_LimitPlus</t>
  </si>
  <si>
    <t>pUmem_Sta_02_FollowingErr</t>
  </si>
  <si>
    <t>pUmem_Sta_02_AmpFault</t>
  </si>
  <si>
    <t>pUmem_Sta_03_CmdPos</t>
  </si>
  <si>
    <t>pUmem_Sta_03_ActPos</t>
  </si>
  <si>
    <t>pUmem_Sta_03_Velocity</t>
  </si>
  <si>
    <t xml:space="preserve">pUmem_Sta_03_Load </t>
  </si>
  <si>
    <t>pUmem_Sta_03_AmpEna</t>
  </si>
  <si>
    <t>pUmem_Sta_03_InPos</t>
  </si>
  <si>
    <t>pUmem_Sta_03_HomeFin</t>
  </si>
  <si>
    <t>pUmem_Sta_03_HomeIng</t>
  </si>
  <si>
    <t>pUmem_Sta_03_LimitMinus</t>
  </si>
  <si>
    <t>pUmem_Sta_03_LimitPlus</t>
  </si>
  <si>
    <t>pUmem_Sta_03_FollowingErr</t>
  </si>
  <si>
    <t>pUmem_Sta_03_AmpFault</t>
  </si>
  <si>
    <t>pUmem_Sta_04_CmdPos</t>
  </si>
  <si>
    <t>pUmem_Sta_04_ActPos</t>
  </si>
  <si>
    <t>pUmem_Sta_04_Velocity</t>
  </si>
  <si>
    <t xml:space="preserve">pUmem_Sta_04_Load </t>
  </si>
  <si>
    <t>pUmem_Sta_04_AmpEna</t>
  </si>
  <si>
    <t>pUmem_Sta_04_InPos</t>
  </si>
  <si>
    <t>pUmem_Sta_04_HomeFin</t>
  </si>
  <si>
    <t>pUmem_Sta_04_HomeIng</t>
  </si>
  <si>
    <t>pUmem_Sta_04_LimitMinus</t>
  </si>
  <si>
    <t>pUmem_Sta_04_LimitPlus</t>
  </si>
  <si>
    <t>pUmem_Sta_04_FollowingErr</t>
  </si>
  <si>
    <t>pUmem_Sta_04_AmpFault</t>
  </si>
  <si>
    <t>pUmem_Sta_05_CmdPos</t>
  </si>
  <si>
    <t>pUmem_Sta_05_ActPos</t>
  </si>
  <si>
    <t>pUmem_Sta_05_Velocity</t>
  </si>
  <si>
    <t xml:space="preserve">pUmem_Sta_05_Load </t>
  </si>
  <si>
    <t>pUmem_Sta_05_AmpEna</t>
  </si>
  <si>
    <t>pUmem_Sta_05_InPos</t>
  </si>
  <si>
    <t>pUmem_Sta_05_HomeFin</t>
  </si>
  <si>
    <t>pUmem_Sta_05_HomeIng</t>
  </si>
  <si>
    <t>pUmem_Sta_05_LimitMinus</t>
  </si>
  <si>
    <t>pUmem_Sta_05_LimitPlus</t>
  </si>
  <si>
    <t>pUmem_Sta_05_FollowingErr</t>
  </si>
  <si>
    <t>pUmem_Sta_05_AmpFault</t>
  </si>
  <si>
    <t>pUmem_Sta_06_CmdPos</t>
  </si>
  <si>
    <t>pUmem_Sta_06_ActPos</t>
  </si>
  <si>
    <t>pUmem_Sta_06_Velocity</t>
  </si>
  <si>
    <t xml:space="preserve">pUmem_Sta_06_Load </t>
  </si>
  <si>
    <t>pUmem_Sta_06_AmpEna</t>
  </si>
  <si>
    <t>pUmem_Sta_06_InPos</t>
  </si>
  <si>
    <t>pUmem_Sta_06_HomeFin</t>
  </si>
  <si>
    <t>pUmem_Sta_06_HomeIng</t>
  </si>
  <si>
    <t>pUmem_Sta_06_LimitMinus</t>
  </si>
  <si>
    <t>pUmem_Sta_06_LimitPlus</t>
  </si>
  <si>
    <t>pUmem_Sta_06_FollowingErr</t>
  </si>
  <si>
    <t>pUmem_Sta_06_AmpFault</t>
  </si>
  <si>
    <t>pUmem_Cmd_01_ServoOn</t>
  </si>
  <si>
    <t>pUmem_Cmd_01_ServoOff</t>
  </si>
  <si>
    <t>pUmem_Cmd_01_HomeStart</t>
  </si>
  <si>
    <t>pUmem_Cmd_01_HomeStop</t>
  </si>
  <si>
    <t>pUmem_Cmd_01_HomeOffset</t>
  </si>
  <si>
    <t>pUmem_Cmd_01_JogStop</t>
  </si>
  <si>
    <t>pUmem_Cmd_01_JogContPlus</t>
  </si>
  <si>
    <t>pUmem_Cmd_01_JogContMinus</t>
  </si>
  <si>
    <t>pUmem_Cmd_01_JogAbsMove</t>
  </si>
  <si>
    <t>pUmem_Cmd_01_JogIncMove</t>
  </si>
  <si>
    <t>pUmem_Cmd_01_JogAbsPos</t>
  </si>
  <si>
    <t>pUmem_Cmd_01_JogIncDist</t>
  </si>
  <si>
    <t>pUmem_Cmd_01_JogSpeed</t>
  </si>
  <si>
    <t>pUmem_Cmd_01_JogTa</t>
  </si>
  <si>
    <t>pUmem_Cmd_01_JogTs</t>
  </si>
  <si>
    <t>pUmem_Cmd_02_ServoOn</t>
  </si>
  <si>
    <t>pUmem_Cmd_02_ServoOff</t>
  </si>
  <si>
    <t>pUmem_Cmd_02_HomeStart</t>
  </si>
  <si>
    <t>pUmem_Cmd_02_HomeStop</t>
  </si>
  <si>
    <t>pUmem_Cmd_02_HomeOffset</t>
  </si>
  <si>
    <t>pUmem_Cmd_02_JogStop</t>
  </si>
  <si>
    <t>pUmem_Cmd_02_JogContPlus</t>
  </si>
  <si>
    <t>pUmem_Cmd_02_JogContMinus</t>
  </si>
  <si>
    <t>pUmem_Cmd_02_JogAbsMove</t>
  </si>
  <si>
    <t>pUmem_Cmd_02_JogIncMove</t>
  </si>
  <si>
    <t>pUmem_Cmd_02_JogAbsPos</t>
  </si>
  <si>
    <t>pUmem_Cmd_02_JogIncDist</t>
  </si>
  <si>
    <t>pUmem_Cmd_02_JogSpeed</t>
  </si>
  <si>
    <t>pUmem_Cmd_02_JogTa</t>
  </si>
  <si>
    <t>pUmem_Cmd_02_JogTs</t>
  </si>
  <si>
    <t>pUmem_Cmd_03_ServoOn</t>
  </si>
  <si>
    <t>pUmem_Cmd_03_ServoOff</t>
  </si>
  <si>
    <t>pUmem_Cmd_03_HomeStart</t>
  </si>
  <si>
    <t>pUmem_Cmd_03_HomeStop</t>
  </si>
  <si>
    <t>pUmem_Cmd_03_HomeOffset</t>
  </si>
  <si>
    <t>pUmem_Cmd_03_JogStop</t>
  </si>
  <si>
    <t>pUmem_Cmd_03_JogContPlus</t>
  </si>
  <si>
    <t>pUmem_Cmd_03_JogContMinus</t>
  </si>
  <si>
    <t>pUmem_Cmd_03_JogAbsMove</t>
  </si>
  <si>
    <t>pUmem_Cmd_03_JogIncMove</t>
  </si>
  <si>
    <t>pUmem_Cmd_03_JogAbsPos</t>
  </si>
  <si>
    <t>pUmem_Cmd_03_JogIncDist</t>
  </si>
  <si>
    <t>pUmem_Cmd_03_JogSpeed</t>
  </si>
  <si>
    <t>pUmem_Cmd_03_JogTa</t>
  </si>
  <si>
    <t>pUmem_Cmd_03_JogTs</t>
  </si>
  <si>
    <t>pUmem_Cmd_04_ServoOn</t>
  </si>
  <si>
    <t>pUmem_Cmd_04_ServoOff</t>
  </si>
  <si>
    <t>pUmem_Cmd_04_HomeStart</t>
  </si>
  <si>
    <t>pUmem_Cmd_04_HomeStop</t>
  </si>
  <si>
    <t>pUmem_Cmd_04_HomeOffset</t>
  </si>
  <si>
    <t>pUmem_Cmd_04_JogStop</t>
  </si>
  <si>
    <t>pUmem_Cmd_04_JogContPlus</t>
  </si>
  <si>
    <t>pUmem_Cmd_04_JogContMinus</t>
  </si>
  <si>
    <t>pUmem_Cmd_04_JogAbsMove</t>
  </si>
  <si>
    <t>pUmem_Cmd_04_JogIncMove</t>
  </si>
  <si>
    <t>pUmem_Cmd_04_JogAbsPos</t>
  </si>
  <si>
    <t>pUmem_Cmd_04_JogIncDist</t>
  </si>
  <si>
    <t>pUmem_Cmd_04_JogSpeed</t>
  </si>
  <si>
    <t>pUmem_Cmd_04_JogTa</t>
  </si>
  <si>
    <t>pUmem_Cmd_04_JogTs</t>
  </si>
  <si>
    <t>pUmem_Cmd_05_ServoOn</t>
  </si>
  <si>
    <t>pUmem_Cmd_05_ServoOff</t>
  </si>
  <si>
    <t>pUmem_Cmd_05_HomeStart</t>
  </si>
  <si>
    <t>pUmem_Cmd_05_HomeStop</t>
  </si>
  <si>
    <t>pUmem_Cmd_05_HomeOffset</t>
  </si>
  <si>
    <t>pUmem_Cmd_05_JogStop</t>
  </si>
  <si>
    <t>pUmem_Cmd_05_JogContPlus</t>
  </si>
  <si>
    <t>pUmem_Cmd_05_JogContMinus</t>
  </si>
  <si>
    <t>pUmem_Cmd_05_JogAbsMove</t>
  </si>
  <si>
    <t>pUmem_Cmd_05_JogIncMove</t>
  </si>
  <si>
    <t>pUmem_Cmd_05_JogAbsPos</t>
  </si>
  <si>
    <t>pUmem_Cmd_05_JogIncDist</t>
  </si>
  <si>
    <t>pUmem_Cmd_05_JogSpeed</t>
  </si>
  <si>
    <t>pUmem_Cmd_05_JogTa</t>
  </si>
  <si>
    <t>pUmem_Cmd_05_JogTs</t>
  </si>
  <si>
    <t>pUmem_Cmd_06_ServoOn</t>
  </si>
  <si>
    <t>pUmem_Cmd_06_ServoOff</t>
  </si>
  <si>
    <t>pUmem_Cmd_06_HomeStart</t>
  </si>
  <si>
    <t>pUmem_Cmd_06_HomeStop</t>
  </si>
  <si>
    <t>pUmem_Cmd_06_HomeOffset</t>
  </si>
  <si>
    <t>pUmem_Cmd_06_JogStop</t>
  </si>
  <si>
    <t>pUmem_Cmd_06_JogContPlus</t>
  </si>
  <si>
    <t>pUmem_Cmd_06_JogContMinus</t>
  </si>
  <si>
    <t>pUmem_Cmd_06_JogAbsMove</t>
  </si>
  <si>
    <t>pUmem_Cmd_06_JogIncMove</t>
  </si>
  <si>
    <t>pUmem_Cmd_06_JogAbsPos</t>
  </si>
  <si>
    <t>pUmem_Cmd_06_JogIncDist</t>
  </si>
  <si>
    <t>pUmem_Cmd_06_JogSpeed</t>
  </si>
  <si>
    <t>pUmem_Cmd_06_JogTa</t>
  </si>
  <si>
    <t>pUmem_Cmd_06_JogTs</t>
  </si>
  <si>
    <t>pUmem_Sta_01_CloseLoop</t>
    <phoneticPr fontId="3" type="noConversion"/>
  </si>
  <si>
    <t>pUmem_Sta_01_EncLoss</t>
    <phoneticPr fontId="3" type="noConversion"/>
  </si>
  <si>
    <t>pUmem_Sta_01_I2tErr</t>
    <phoneticPr fontId="3" type="noConversion"/>
  </si>
  <si>
    <t>Close Loop</t>
    <phoneticPr fontId="3" type="noConversion"/>
  </si>
  <si>
    <t>Mtr01</t>
    <phoneticPr fontId="3" type="noConversion"/>
  </si>
  <si>
    <t>Mtr02</t>
  </si>
  <si>
    <t>Mtr03</t>
  </si>
  <si>
    <t>Mtr04</t>
  </si>
  <si>
    <t>Mtr05</t>
  </si>
  <si>
    <t>Mtr06</t>
  </si>
  <si>
    <t>Mtr07</t>
  </si>
  <si>
    <t>Mtr08</t>
  </si>
  <si>
    <t>pUmem_Cmd_07_ServoOn</t>
  </si>
  <si>
    <t>pUmem_Cmd_07_ServoOff</t>
  </si>
  <si>
    <t>pUmem_Cmd_07_HomeStart</t>
  </si>
  <si>
    <t>pUmem_Cmd_07_HomeStop</t>
  </si>
  <si>
    <t>pUmem_Cmd_07_HomeOffset</t>
  </si>
  <si>
    <t>pUmem_Cmd_07_JogStop</t>
  </si>
  <si>
    <t>pUmem_Cmd_07_JogContPlus</t>
  </si>
  <si>
    <t>pUmem_Cmd_07_JogContMinus</t>
  </si>
  <si>
    <t>pUmem_Cmd_07_JogAbsMove</t>
  </si>
  <si>
    <t>pUmem_Cmd_07_JogIncMove</t>
  </si>
  <si>
    <t>pUmem_Cmd_07_JogAbsPos</t>
  </si>
  <si>
    <t>pUmem_Cmd_07_JogIncDist</t>
  </si>
  <si>
    <t>pUmem_Cmd_07_JogSpeed</t>
  </si>
  <si>
    <t>pUmem_Cmd_07_JogTa</t>
  </si>
  <si>
    <t>pUmem_Cmd_07_JogTs</t>
  </si>
  <si>
    <t>pUmem_Cmd_08_ServoOn</t>
  </si>
  <si>
    <t>pUmem_Cmd_08_ServoOff</t>
  </si>
  <si>
    <t>pUmem_Cmd_08_HomeStart</t>
  </si>
  <si>
    <t>pUmem_Cmd_08_HomeStop</t>
  </si>
  <si>
    <t>pUmem_Cmd_08_HomeOffset</t>
  </si>
  <si>
    <t>pUmem_Cmd_08_JogStop</t>
  </si>
  <si>
    <t>pUmem_Cmd_08_JogContPlus</t>
  </si>
  <si>
    <t>pUmem_Cmd_08_JogContMinus</t>
  </si>
  <si>
    <t>pUmem_Cmd_08_JogAbsMove</t>
  </si>
  <si>
    <t>pUmem_Cmd_08_JogIncMove</t>
  </si>
  <si>
    <t>pUmem_Cmd_08_JogAbsPos</t>
  </si>
  <si>
    <t>pUmem_Cmd_08_JogIncDist</t>
  </si>
  <si>
    <t>pUmem_Cmd_08_JogSpeed</t>
  </si>
  <si>
    <t>pUmem_Cmd_08_JogTa</t>
  </si>
  <si>
    <t>pUmem_Cmd_08_JogTs</t>
  </si>
  <si>
    <t>pUmem_Sta_02_CloseLoop</t>
  </si>
  <si>
    <t>pUmem_Sta_02_EncLoss</t>
  </si>
  <si>
    <t>pUmem_Sta_02_I2tErr</t>
  </si>
  <si>
    <t>pUmem_Sta_03_CloseLoop</t>
  </si>
  <si>
    <t>pUmem_Sta_03_EncLoss</t>
  </si>
  <si>
    <t>pUmem_Sta_03_I2tErr</t>
  </si>
  <si>
    <t>pUmem_Sta_04_CloseLoop</t>
  </si>
  <si>
    <t>pUmem_Sta_04_EncLoss</t>
  </si>
  <si>
    <t>pUmem_Sta_04_I2tErr</t>
  </si>
  <si>
    <t>pUmem_Sta_05_CloseLoop</t>
  </si>
  <si>
    <t>pUmem_Sta_05_EncLoss</t>
  </si>
  <si>
    <t>pUmem_Sta_05_I2tErr</t>
  </si>
  <si>
    <t>pUmem_Sta_06_CloseLoop</t>
  </si>
  <si>
    <t>pUmem_Sta_06_EncLoss</t>
  </si>
  <si>
    <t>pUmem_Sta_06_I2tErr</t>
  </si>
  <si>
    <t>pUmem_Sta_07_CmdPos</t>
  </si>
  <si>
    <t>pUmem_Sta_07_ActPos</t>
  </si>
  <si>
    <t>pUmem_Sta_07_Velocity</t>
  </si>
  <si>
    <t xml:space="preserve">pUmem_Sta_07_Load </t>
  </si>
  <si>
    <t>pUmem_Sta_07_AmpEna</t>
  </si>
  <si>
    <t>pUmem_Sta_07_CloseLoop</t>
  </si>
  <si>
    <t>pUmem_Sta_07_InPos</t>
  </si>
  <si>
    <t>pUmem_Sta_07_HomeFin</t>
  </si>
  <si>
    <t>pUmem_Sta_07_HomeIng</t>
  </si>
  <si>
    <t>pUmem_Sta_07_LimitMinus</t>
  </si>
  <si>
    <t>pUmem_Sta_07_LimitPlus</t>
  </si>
  <si>
    <t>pUmem_Sta_07_FollowingErr</t>
  </si>
  <si>
    <t>pUmem_Sta_07_AmpFault</t>
  </si>
  <si>
    <t>pUmem_Sta_07_EncLoss</t>
  </si>
  <si>
    <t>pUmem_Sta_07_I2tErr</t>
  </si>
  <si>
    <t>pUmem_Sta_08_CmdPos</t>
  </si>
  <si>
    <t>pUmem_Sta_08_ActPos</t>
  </si>
  <si>
    <t>pUmem_Sta_08_Velocity</t>
  </si>
  <si>
    <t xml:space="preserve">pUmem_Sta_08_Load </t>
  </si>
  <si>
    <t>pUmem_Sta_08_AmpEna</t>
  </si>
  <si>
    <t>pUmem_Sta_08_CloseLoop</t>
  </si>
  <si>
    <t>pUmem_Sta_08_InPos</t>
  </si>
  <si>
    <t>pUmem_Sta_08_HomeFin</t>
  </si>
  <si>
    <t>pUmem_Sta_08_HomeIng</t>
  </si>
  <si>
    <t>pUmem_Sta_08_LimitMinus</t>
  </si>
  <si>
    <t>pUmem_Sta_08_LimitPlus</t>
  </si>
  <si>
    <t>pUmem_Sta_08_FollowingErr</t>
  </si>
  <si>
    <t>pUmem_Sta_08_AmpFault</t>
  </si>
  <si>
    <t>pUmem_Sta_08_EncLoss</t>
  </si>
  <si>
    <t>pUmem_Sta_08_I2tErr</t>
  </si>
  <si>
    <t>pUmem_Sta_Mc_AmpEna</t>
    <phoneticPr fontId="3" type="noConversion"/>
  </si>
  <si>
    <t>pUmem_Sta_Mc_InPos</t>
    <phoneticPr fontId="3" type="noConversion"/>
  </si>
  <si>
    <t>pUmem_Sta_Mc_HomeFin</t>
    <phoneticPr fontId="3" type="noConversion"/>
  </si>
  <si>
    <t>pUmem_Sta_Mc_HomeIng</t>
    <phoneticPr fontId="3" type="noConversion"/>
  </si>
  <si>
    <t>pUmem_Sta_Mc_ProgRun</t>
    <phoneticPr fontId="3" type="noConversion"/>
  </si>
  <si>
    <t>pUmem_Sta_Mc_ErrCode</t>
    <phoneticPr fontId="3" type="noConversion"/>
  </si>
  <si>
    <t>pUmem_Sta_Mc_Error</t>
    <phoneticPr fontId="3" type="noConversion"/>
  </si>
  <si>
    <t>Machine Status</t>
    <phoneticPr fontId="3" type="noConversion"/>
  </si>
  <si>
    <t>Machine Command</t>
    <phoneticPr fontId="3" type="noConversion"/>
  </si>
  <si>
    <t>pUmem_Cmd_Mc_ServoOn</t>
    <phoneticPr fontId="3" type="noConversion"/>
  </si>
  <si>
    <t>pUmem_Cmd_Mc_ServoOff</t>
    <phoneticPr fontId="3" type="noConversion"/>
  </si>
  <si>
    <t>pUmem_Cmd_Mc_HomeStart</t>
    <phoneticPr fontId="3" type="noConversion"/>
  </si>
  <si>
    <t>pUmem_Cmd_Mc_ProgStart</t>
    <phoneticPr fontId="3" type="noConversion"/>
  </si>
  <si>
    <t>pUmem_Cmd_Mc_ProgAbort</t>
    <phoneticPr fontId="3" type="noConversion"/>
  </si>
  <si>
    <t>pUmem_Cmd_Mc_ProgHold</t>
    <phoneticPr fontId="3" type="noConversion"/>
  </si>
  <si>
    <t>pUmem_Cmd_Mc_ProgNum</t>
    <phoneticPr fontId="3" type="noConversion"/>
  </si>
  <si>
    <t>Word1</t>
    <phoneticPr fontId="3" type="noConversion"/>
  </si>
  <si>
    <t>IN</t>
    <phoneticPr fontId="3" type="noConversion"/>
  </si>
  <si>
    <t>OUT</t>
    <phoneticPr fontId="3" type="noConversion"/>
  </si>
  <si>
    <t>Mtr09</t>
  </si>
  <si>
    <t>Mtr10</t>
  </si>
  <si>
    <t>Mtr11</t>
  </si>
  <si>
    <t>Mtr12</t>
  </si>
  <si>
    <t>Mtr13</t>
  </si>
  <si>
    <t>Mtr14</t>
  </si>
  <si>
    <t>Mtr15</t>
  </si>
  <si>
    <t>Mtr16</t>
  </si>
  <si>
    <t>Mtr17</t>
  </si>
  <si>
    <t>Mtr18</t>
  </si>
  <si>
    <t>Mtr19</t>
  </si>
  <si>
    <t>Mtr20</t>
  </si>
  <si>
    <t>Mtr21</t>
  </si>
  <si>
    <t>Mtr22</t>
  </si>
  <si>
    <t>Mtr23</t>
  </si>
  <si>
    <t>Mtr24</t>
  </si>
  <si>
    <t>Mtr25</t>
  </si>
  <si>
    <t>Mtr26</t>
  </si>
  <si>
    <t>Mtr27</t>
  </si>
  <si>
    <t>Mtr28</t>
  </si>
  <si>
    <t>Mtr29</t>
  </si>
  <si>
    <t>Mtr30</t>
  </si>
  <si>
    <t>Mtr31</t>
  </si>
  <si>
    <t>Mtr32</t>
  </si>
  <si>
    <t>pUmem_Cmd_09_ServoOn</t>
  </si>
  <si>
    <t>pUmem_Cmd_09_ServoOff</t>
  </si>
  <si>
    <t>pUmem_Cmd_09_HomeStart</t>
  </si>
  <si>
    <t>pUmem_Cmd_09_HomeStop</t>
  </si>
  <si>
    <t>pUmem_Cmd_09_HomeOffset</t>
  </si>
  <si>
    <t>pUmem_Cmd_09_JogStop</t>
  </si>
  <si>
    <t>pUmem_Cmd_09_JogContPlus</t>
  </si>
  <si>
    <t>pUmem_Cmd_09_JogContMinus</t>
  </si>
  <si>
    <t>pUmem_Cmd_09_JogAbsMove</t>
  </si>
  <si>
    <t>pUmem_Cmd_09_JogIncMove</t>
  </si>
  <si>
    <t>pUmem_Cmd_09_JogAbsPos</t>
  </si>
  <si>
    <t>pUmem_Cmd_09_JogIncDist</t>
  </si>
  <si>
    <t>pUmem_Cmd_09_JogSpeed</t>
  </si>
  <si>
    <t>pUmem_Cmd_09_JogTa</t>
  </si>
  <si>
    <t>pUmem_Cmd_09_JogTs</t>
  </si>
  <si>
    <t>pUmem_Cmd_10_ServoOn</t>
  </si>
  <si>
    <t>pUmem_Cmd_10_ServoOff</t>
  </si>
  <si>
    <t>pUmem_Cmd_10_HomeStart</t>
  </si>
  <si>
    <t>pUmem_Cmd_10_HomeStop</t>
  </si>
  <si>
    <t>pUmem_Cmd_10_HomeOffset</t>
  </si>
  <si>
    <t>pUmem_Cmd_10_JogStop</t>
  </si>
  <si>
    <t>pUmem_Cmd_10_JogContPlus</t>
  </si>
  <si>
    <t>pUmem_Cmd_10_JogContMinus</t>
  </si>
  <si>
    <t>pUmem_Cmd_10_JogAbsMove</t>
  </si>
  <si>
    <t>pUmem_Cmd_10_JogIncMove</t>
  </si>
  <si>
    <t>pUmem_Cmd_10_JogAbsPos</t>
  </si>
  <si>
    <t>pUmem_Cmd_10_JogIncDist</t>
  </si>
  <si>
    <t>pUmem_Cmd_10_JogSpeed</t>
  </si>
  <si>
    <t>pUmem_Cmd_10_JogTa</t>
  </si>
  <si>
    <t>pUmem_Cmd_10_JogTs</t>
  </si>
  <si>
    <t>pUmem_Cmd_11_ServoOn</t>
  </si>
  <si>
    <t>pUmem_Cmd_11_ServoOff</t>
  </si>
  <si>
    <t>pUmem_Cmd_11_HomeStart</t>
  </si>
  <si>
    <t>pUmem_Cmd_11_HomeStop</t>
  </si>
  <si>
    <t>pUmem_Cmd_11_HomeOffset</t>
  </si>
  <si>
    <t>pUmem_Cmd_11_JogStop</t>
  </si>
  <si>
    <t>pUmem_Cmd_11_JogContPlus</t>
  </si>
  <si>
    <t>pUmem_Cmd_11_JogContMinus</t>
  </si>
  <si>
    <t>pUmem_Cmd_11_JogAbsMove</t>
  </si>
  <si>
    <t>pUmem_Cmd_11_JogIncMove</t>
  </si>
  <si>
    <t>pUmem_Cmd_11_JogAbsPos</t>
  </si>
  <si>
    <t>pUmem_Cmd_11_JogIncDist</t>
  </si>
  <si>
    <t>pUmem_Cmd_11_JogSpeed</t>
  </si>
  <si>
    <t>pUmem_Cmd_11_JogTa</t>
  </si>
  <si>
    <t>pUmem_Cmd_11_JogTs</t>
  </si>
  <si>
    <t>pUmem_Cmd_12_ServoOn</t>
  </si>
  <si>
    <t>pUmem_Cmd_12_ServoOff</t>
  </si>
  <si>
    <t>pUmem_Cmd_12_HomeStart</t>
  </si>
  <si>
    <t>pUmem_Cmd_12_HomeStop</t>
  </si>
  <si>
    <t>pUmem_Cmd_12_HomeOffset</t>
  </si>
  <si>
    <t>pUmem_Cmd_12_JogStop</t>
  </si>
  <si>
    <t>pUmem_Cmd_12_JogContPlus</t>
  </si>
  <si>
    <t>pUmem_Cmd_12_JogContMinus</t>
  </si>
  <si>
    <t>pUmem_Cmd_12_JogAbsMove</t>
  </si>
  <si>
    <t>pUmem_Cmd_12_JogIncMove</t>
  </si>
  <si>
    <t>pUmem_Cmd_12_JogAbsPos</t>
  </si>
  <si>
    <t>pUmem_Cmd_12_JogIncDist</t>
  </si>
  <si>
    <t>pUmem_Cmd_12_JogSpeed</t>
  </si>
  <si>
    <t>pUmem_Cmd_12_JogTa</t>
  </si>
  <si>
    <t>pUmem_Cmd_12_JogTs</t>
  </si>
  <si>
    <t>pUmem_Cmd_13_ServoOn</t>
  </si>
  <si>
    <t>pUmem_Cmd_13_ServoOff</t>
  </si>
  <si>
    <t>pUmem_Cmd_13_HomeStart</t>
  </si>
  <si>
    <t>pUmem_Cmd_13_HomeStop</t>
  </si>
  <si>
    <t>pUmem_Cmd_13_HomeOffset</t>
  </si>
  <si>
    <t>pUmem_Cmd_13_JogStop</t>
  </si>
  <si>
    <t>pUmem_Cmd_13_JogContPlus</t>
  </si>
  <si>
    <t>pUmem_Cmd_13_JogContMinus</t>
  </si>
  <si>
    <t>pUmem_Cmd_13_JogAbsMove</t>
  </si>
  <si>
    <t>pUmem_Cmd_13_JogIncMove</t>
  </si>
  <si>
    <t>pUmem_Cmd_13_JogAbsPos</t>
  </si>
  <si>
    <t>pUmem_Cmd_13_JogIncDist</t>
  </si>
  <si>
    <t>pUmem_Cmd_13_JogSpeed</t>
  </si>
  <si>
    <t>pUmem_Cmd_13_JogTa</t>
  </si>
  <si>
    <t>pUmem_Cmd_13_JogTs</t>
  </si>
  <si>
    <t>pUmem_Cmd_14_ServoOn</t>
  </si>
  <si>
    <t>pUmem_Cmd_14_ServoOff</t>
  </si>
  <si>
    <t>pUmem_Cmd_14_HomeStart</t>
  </si>
  <si>
    <t>pUmem_Cmd_14_HomeStop</t>
  </si>
  <si>
    <t>pUmem_Cmd_14_HomeOffset</t>
  </si>
  <si>
    <t>pUmem_Cmd_14_JogStop</t>
  </si>
  <si>
    <t>pUmem_Cmd_14_JogContPlus</t>
  </si>
  <si>
    <t>pUmem_Cmd_14_JogContMinus</t>
  </si>
  <si>
    <t>pUmem_Cmd_14_JogAbsMove</t>
  </si>
  <si>
    <t>pUmem_Cmd_14_JogIncMove</t>
  </si>
  <si>
    <t>pUmem_Cmd_14_JogAbsPos</t>
  </si>
  <si>
    <t>pUmem_Cmd_14_JogIncDist</t>
  </si>
  <si>
    <t>pUmem_Cmd_14_JogSpeed</t>
  </si>
  <si>
    <t>pUmem_Cmd_14_JogTa</t>
  </si>
  <si>
    <t>pUmem_Cmd_14_JogTs</t>
  </si>
  <si>
    <t>pUmem_Cmd_15_ServoOn</t>
  </si>
  <si>
    <t>pUmem_Cmd_15_ServoOff</t>
  </si>
  <si>
    <t>pUmem_Cmd_15_HomeStart</t>
  </si>
  <si>
    <t>pUmem_Cmd_15_HomeStop</t>
  </si>
  <si>
    <t>pUmem_Cmd_15_HomeOffset</t>
  </si>
  <si>
    <t>pUmem_Cmd_15_JogStop</t>
  </si>
  <si>
    <t>pUmem_Cmd_15_JogContPlus</t>
  </si>
  <si>
    <t>pUmem_Cmd_15_JogContMinus</t>
  </si>
  <si>
    <t>pUmem_Cmd_15_JogAbsMove</t>
  </si>
  <si>
    <t>pUmem_Cmd_15_JogIncMove</t>
  </si>
  <si>
    <t>pUmem_Cmd_15_JogAbsPos</t>
  </si>
  <si>
    <t>pUmem_Cmd_15_JogIncDist</t>
  </si>
  <si>
    <t>pUmem_Cmd_15_JogSpeed</t>
  </si>
  <si>
    <t>pUmem_Cmd_15_JogTa</t>
  </si>
  <si>
    <t>pUmem_Cmd_15_JogTs</t>
  </si>
  <si>
    <t>pUmem_Cmd_16_ServoOn</t>
  </si>
  <si>
    <t>pUmem_Cmd_16_ServoOff</t>
  </si>
  <si>
    <t>pUmem_Cmd_16_HomeStart</t>
  </si>
  <si>
    <t>pUmem_Cmd_16_HomeStop</t>
  </si>
  <si>
    <t>pUmem_Cmd_16_HomeOffset</t>
  </si>
  <si>
    <t>pUmem_Cmd_16_JogStop</t>
  </si>
  <si>
    <t>pUmem_Cmd_16_JogContPlus</t>
  </si>
  <si>
    <t>pUmem_Cmd_16_JogContMinus</t>
  </si>
  <si>
    <t>pUmem_Cmd_16_JogAbsMove</t>
  </si>
  <si>
    <t>pUmem_Cmd_16_JogIncMove</t>
  </si>
  <si>
    <t>pUmem_Cmd_16_JogAbsPos</t>
  </si>
  <si>
    <t>pUmem_Cmd_16_JogIncDist</t>
  </si>
  <si>
    <t>pUmem_Cmd_16_JogSpeed</t>
  </si>
  <si>
    <t>pUmem_Cmd_16_JogTa</t>
  </si>
  <si>
    <t>pUmem_Cmd_16_JogTs</t>
  </si>
  <si>
    <t>pUmem_Cmd_17_ServoOn</t>
  </si>
  <si>
    <t>pUmem_Cmd_17_ServoOff</t>
  </si>
  <si>
    <t>pUmem_Cmd_17_HomeStart</t>
  </si>
  <si>
    <t>pUmem_Cmd_17_HomeStop</t>
  </si>
  <si>
    <t>pUmem_Cmd_17_HomeOffset</t>
  </si>
  <si>
    <t>pUmem_Cmd_17_JogStop</t>
  </si>
  <si>
    <t>pUmem_Cmd_17_JogContPlus</t>
  </si>
  <si>
    <t>pUmem_Cmd_17_JogContMinus</t>
  </si>
  <si>
    <t>pUmem_Cmd_17_JogAbsMove</t>
  </si>
  <si>
    <t>pUmem_Cmd_17_JogIncMove</t>
  </si>
  <si>
    <t>pUmem_Cmd_17_JogAbsPos</t>
  </si>
  <si>
    <t>pUmem_Cmd_17_JogIncDist</t>
  </si>
  <si>
    <t>pUmem_Cmd_17_JogSpeed</t>
  </si>
  <si>
    <t>pUmem_Cmd_17_JogTa</t>
  </si>
  <si>
    <t>pUmem_Cmd_17_JogTs</t>
  </si>
  <si>
    <t>pUmem_Cmd_18_ServoOn</t>
  </si>
  <si>
    <t>pUmem_Cmd_18_ServoOff</t>
  </si>
  <si>
    <t>pUmem_Cmd_18_HomeStart</t>
  </si>
  <si>
    <t>pUmem_Cmd_18_HomeStop</t>
  </si>
  <si>
    <t>pUmem_Cmd_18_HomeOffset</t>
  </si>
  <si>
    <t>pUmem_Cmd_18_JogStop</t>
  </si>
  <si>
    <t>pUmem_Cmd_18_JogContPlus</t>
  </si>
  <si>
    <t>pUmem_Cmd_18_JogContMinus</t>
  </si>
  <si>
    <t>pUmem_Cmd_18_JogAbsMove</t>
  </si>
  <si>
    <t>pUmem_Cmd_18_JogIncMove</t>
  </si>
  <si>
    <t>pUmem_Cmd_18_JogAbsPos</t>
  </si>
  <si>
    <t>pUmem_Cmd_18_JogIncDist</t>
  </si>
  <si>
    <t>pUmem_Cmd_18_JogSpeed</t>
  </si>
  <si>
    <t>pUmem_Cmd_18_JogTa</t>
  </si>
  <si>
    <t>pUmem_Cmd_18_JogTs</t>
  </si>
  <si>
    <t>pUmem_Cmd_19_ServoOn</t>
  </si>
  <si>
    <t>pUmem_Cmd_19_ServoOff</t>
  </si>
  <si>
    <t>pUmem_Cmd_19_HomeStart</t>
  </si>
  <si>
    <t>pUmem_Cmd_19_HomeStop</t>
  </si>
  <si>
    <t>pUmem_Cmd_19_HomeOffset</t>
  </si>
  <si>
    <t>pUmem_Cmd_19_JogStop</t>
  </si>
  <si>
    <t>pUmem_Cmd_19_JogContPlus</t>
  </si>
  <si>
    <t>pUmem_Cmd_19_JogContMinus</t>
  </si>
  <si>
    <t>pUmem_Cmd_19_JogAbsMove</t>
  </si>
  <si>
    <t>pUmem_Cmd_19_JogIncMove</t>
  </si>
  <si>
    <t>pUmem_Cmd_19_JogAbsPos</t>
  </si>
  <si>
    <t>pUmem_Cmd_19_JogIncDist</t>
  </si>
  <si>
    <t>pUmem_Cmd_19_JogSpeed</t>
  </si>
  <si>
    <t>pUmem_Cmd_19_JogTa</t>
  </si>
  <si>
    <t>pUmem_Cmd_19_JogTs</t>
  </si>
  <si>
    <t>pUmem_Cmd_20_ServoOn</t>
  </si>
  <si>
    <t>pUmem_Cmd_20_ServoOff</t>
  </si>
  <si>
    <t>pUmem_Cmd_20_HomeStart</t>
  </si>
  <si>
    <t>pUmem_Cmd_20_HomeStop</t>
  </si>
  <si>
    <t>pUmem_Cmd_20_HomeOffset</t>
  </si>
  <si>
    <t>pUmem_Cmd_20_JogStop</t>
  </si>
  <si>
    <t>pUmem_Cmd_20_JogContPlus</t>
  </si>
  <si>
    <t>pUmem_Cmd_20_JogContMinus</t>
  </si>
  <si>
    <t>pUmem_Cmd_20_JogAbsMove</t>
  </si>
  <si>
    <t>pUmem_Cmd_20_JogIncMove</t>
  </si>
  <si>
    <t>pUmem_Cmd_20_JogAbsPos</t>
  </si>
  <si>
    <t>pUmem_Cmd_20_JogIncDist</t>
  </si>
  <si>
    <t>pUmem_Cmd_20_JogSpeed</t>
  </si>
  <si>
    <t>pUmem_Cmd_20_JogTa</t>
  </si>
  <si>
    <t>pUmem_Cmd_20_JogTs</t>
  </si>
  <si>
    <t>pUmem_Cmd_21_ServoOn</t>
  </si>
  <si>
    <t>pUmem_Cmd_21_ServoOff</t>
  </si>
  <si>
    <t>pUmem_Cmd_21_HomeStart</t>
  </si>
  <si>
    <t>pUmem_Cmd_21_HomeStop</t>
  </si>
  <si>
    <t>pUmem_Cmd_21_HomeOffset</t>
  </si>
  <si>
    <t>pUmem_Cmd_21_JogStop</t>
  </si>
  <si>
    <t>pUmem_Cmd_21_JogContPlus</t>
  </si>
  <si>
    <t>pUmem_Cmd_21_JogContMinus</t>
  </si>
  <si>
    <t>pUmem_Cmd_21_JogAbsMove</t>
  </si>
  <si>
    <t>pUmem_Cmd_21_JogIncMove</t>
  </si>
  <si>
    <t>pUmem_Cmd_21_JogAbsPos</t>
  </si>
  <si>
    <t>pUmem_Cmd_21_JogIncDist</t>
  </si>
  <si>
    <t>pUmem_Cmd_21_JogSpeed</t>
  </si>
  <si>
    <t>pUmem_Cmd_21_JogTa</t>
  </si>
  <si>
    <t>pUmem_Cmd_21_JogTs</t>
  </si>
  <si>
    <t>pUmem_Cmd_22_ServoOn</t>
  </si>
  <si>
    <t>pUmem_Cmd_22_ServoOff</t>
  </si>
  <si>
    <t>pUmem_Cmd_22_HomeStart</t>
  </si>
  <si>
    <t>pUmem_Cmd_22_HomeStop</t>
  </si>
  <si>
    <t>pUmem_Cmd_22_HomeOffset</t>
  </si>
  <si>
    <t>pUmem_Cmd_22_JogStop</t>
  </si>
  <si>
    <t>pUmem_Cmd_22_JogContPlus</t>
  </si>
  <si>
    <t>pUmem_Cmd_22_JogContMinus</t>
  </si>
  <si>
    <t>pUmem_Cmd_22_JogAbsMove</t>
  </si>
  <si>
    <t>pUmem_Cmd_22_JogIncMove</t>
  </si>
  <si>
    <t>pUmem_Cmd_22_JogAbsPos</t>
  </si>
  <si>
    <t>pUmem_Cmd_22_JogIncDist</t>
  </si>
  <si>
    <t>pUmem_Cmd_22_JogSpeed</t>
  </si>
  <si>
    <t>pUmem_Cmd_22_JogTa</t>
  </si>
  <si>
    <t>pUmem_Cmd_22_JogTs</t>
  </si>
  <si>
    <t>pUmem_Cmd_23_ServoOn</t>
  </si>
  <si>
    <t>pUmem_Cmd_23_ServoOff</t>
  </si>
  <si>
    <t>pUmem_Cmd_23_HomeStart</t>
  </si>
  <si>
    <t>pUmem_Cmd_23_HomeStop</t>
  </si>
  <si>
    <t>pUmem_Cmd_23_HomeOffset</t>
  </si>
  <si>
    <t>pUmem_Cmd_23_JogStop</t>
  </si>
  <si>
    <t>pUmem_Cmd_23_JogContPlus</t>
  </si>
  <si>
    <t>pUmem_Cmd_23_JogContMinus</t>
  </si>
  <si>
    <t>pUmem_Cmd_23_JogAbsMove</t>
  </si>
  <si>
    <t>pUmem_Cmd_23_JogIncMove</t>
  </si>
  <si>
    <t>pUmem_Cmd_23_JogAbsPos</t>
  </si>
  <si>
    <t>pUmem_Cmd_23_JogIncDist</t>
  </si>
  <si>
    <t>pUmem_Cmd_23_JogSpeed</t>
  </si>
  <si>
    <t>pUmem_Cmd_23_JogTa</t>
  </si>
  <si>
    <t>pUmem_Cmd_23_JogTs</t>
  </si>
  <si>
    <t>pUmem_Cmd_24_ServoOn</t>
  </si>
  <si>
    <t>pUmem_Cmd_24_ServoOff</t>
  </si>
  <si>
    <t>pUmem_Cmd_24_HomeStart</t>
  </si>
  <si>
    <t>pUmem_Cmd_24_HomeStop</t>
  </si>
  <si>
    <t>pUmem_Cmd_24_HomeOffset</t>
  </si>
  <si>
    <t>pUmem_Cmd_24_JogStop</t>
  </si>
  <si>
    <t>pUmem_Cmd_24_JogContPlus</t>
  </si>
  <si>
    <t>pUmem_Cmd_24_JogContMinus</t>
  </si>
  <si>
    <t>pUmem_Cmd_24_JogAbsMove</t>
  </si>
  <si>
    <t>pUmem_Cmd_24_JogIncMove</t>
  </si>
  <si>
    <t>pUmem_Cmd_24_JogAbsPos</t>
  </si>
  <si>
    <t>pUmem_Cmd_24_JogIncDist</t>
  </si>
  <si>
    <t>pUmem_Cmd_24_JogSpeed</t>
  </si>
  <si>
    <t>pUmem_Cmd_24_JogTa</t>
  </si>
  <si>
    <t>pUmem_Cmd_24_JogTs</t>
  </si>
  <si>
    <t>pUmem_Cmd_25_ServoOn</t>
  </si>
  <si>
    <t>pUmem_Cmd_25_ServoOff</t>
  </si>
  <si>
    <t>pUmem_Cmd_25_HomeStart</t>
  </si>
  <si>
    <t>pUmem_Cmd_25_HomeStop</t>
  </si>
  <si>
    <t>pUmem_Cmd_25_HomeOffset</t>
  </si>
  <si>
    <t>pUmem_Cmd_25_JogStop</t>
  </si>
  <si>
    <t>pUmem_Cmd_25_JogContPlus</t>
  </si>
  <si>
    <t>pUmem_Cmd_25_JogContMinus</t>
  </si>
  <si>
    <t>pUmem_Cmd_25_JogAbsMove</t>
  </si>
  <si>
    <t>pUmem_Cmd_25_JogIncMove</t>
  </si>
  <si>
    <t>pUmem_Cmd_25_JogAbsPos</t>
  </si>
  <si>
    <t>pUmem_Cmd_25_JogIncDist</t>
  </si>
  <si>
    <t>pUmem_Cmd_25_JogSpeed</t>
  </si>
  <si>
    <t>pUmem_Cmd_25_JogTa</t>
  </si>
  <si>
    <t>pUmem_Cmd_25_JogTs</t>
  </si>
  <si>
    <t>pUmem_Cmd_26_ServoOn</t>
  </si>
  <si>
    <t>pUmem_Cmd_26_ServoOff</t>
  </si>
  <si>
    <t>pUmem_Cmd_26_HomeStart</t>
  </si>
  <si>
    <t>pUmem_Cmd_26_HomeStop</t>
  </si>
  <si>
    <t>pUmem_Cmd_26_HomeOffset</t>
  </si>
  <si>
    <t>pUmem_Cmd_26_JogStop</t>
  </si>
  <si>
    <t>pUmem_Cmd_26_JogContPlus</t>
  </si>
  <si>
    <t>pUmem_Cmd_26_JogContMinus</t>
  </si>
  <si>
    <t>pUmem_Cmd_26_JogAbsMove</t>
  </si>
  <si>
    <t>pUmem_Cmd_26_JogIncMove</t>
  </si>
  <si>
    <t>pUmem_Cmd_26_JogAbsPos</t>
  </si>
  <si>
    <t>pUmem_Cmd_26_JogIncDist</t>
  </si>
  <si>
    <t>pUmem_Cmd_26_JogSpeed</t>
  </si>
  <si>
    <t>pUmem_Cmd_26_JogTa</t>
  </si>
  <si>
    <t>pUmem_Cmd_26_JogTs</t>
  </si>
  <si>
    <t>pUmem_Cmd_27_ServoOn</t>
  </si>
  <si>
    <t>pUmem_Cmd_27_ServoOff</t>
  </si>
  <si>
    <t>pUmem_Cmd_27_HomeStart</t>
  </si>
  <si>
    <t>pUmem_Cmd_27_HomeStop</t>
  </si>
  <si>
    <t>pUmem_Cmd_27_HomeOffset</t>
  </si>
  <si>
    <t>pUmem_Cmd_27_JogStop</t>
  </si>
  <si>
    <t>pUmem_Cmd_27_JogContPlus</t>
  </si>
  <si>
    <t>pUmem_Cmd_27_JogContMinus</t>
  </si>
  <si>
    <t>pUmem_Cmd_27_JogAbsMove</t>
  </si>
  <si>
    <t>pUmem_Cmd_27_JogIncMove</t>
  </si>
  <si>
    <t>pUmem_Cmd_27_JogAbsPos</t>
  </si>
  <si>
    <t>pUmem_Cmd_27_JogIncDist</t>
  </si>
  <si>
    <t>pUmem_Cmd_27_JogSpeed</t>
  </si>
  <si>
    <t>pUmem_Cmd_27_JogTa</t>
  </si>
  <si>
    <t>pUmem_Cmd_27_JogTs</t>
  </si>
  <si>
    <t>pUmem_Cmd_28_ServoOn</t>
  </si>
  <si>
    <t>pUmem_Cmd_28_ServoOff</t>
  </si>
  <si>
    <t>pUmem_Cmd_28_HomeStart</t>
  </si>
  <si>
    <t>pUmem_Cmd_28_HomeStop</t>
  </si>
  <si>
    <t>pUmem_Cmd_28_HomeOffset</t>
  </si>
  <si>
    <t>pUmem_Cmd_28_JogStop</t>
  </si>
  <si>
    <t>pUmem_Cmd_28_JogContPlus</t>
  </si>
  <si>
    <t>pUmem_Cmd_28_JogContMinus</t>
  </si>
  <si>
    <t>pUmem_Cmd_28_JogAbsMove</t>
  </si>
  <si>
    <t>pUmem_Cmd_28_JogIncMove</t>
  </si>
  <si>
    <t>pUmem_Cmd_28_JogAbsPos</t>
  </si>
  <si>
    <t>pUmem_Cmd_28_JogIncDist</t>
  </si>
  <si>
    <t>pUmem_Cmd_28_JogSpeed</t>
  </si>
  <si>
    <t>pUmem_Cmd_28_JogTa</t>
  </si>
  <si>
    <t>pUmem_Cmd_28_JogTs</t>
  </si>
  <si>
    <t>pUmem_Cmd_29_ServoOn</t>
  </si>
  <si>
    <t>pUmem_Cmd_29_ServoOff</t>
  </si>
  <si>
    <t>pUmem_Cmd_29_HomeStart</t>
  </si>
  <si>
    <t>pUmem_Cmd_29_HomeStop</t>
  </si>
  <si>
    <t>pUmem_Cmd_29_HomeOffset</t>
  </si>
  <si>
    <t>pUmem_Cmd_29_JogStop</t>
  </si>
  <si>
    <t>pUmem_Cmd_29_JogContPlus</t>
  </si>
  <si>
    <t>pUmem_Cmd_29_JogContMinus</t>
  </si>
  <si>
    <t>pUmem_Cmd_29_JogAbsMove</t>
  </si>
  <si>
    <t>pUmem_Cmd_29_JogIncMove</t>
  </si>
  <si>
    <t>pUmem_Cmd_29_JogAbsPos</t>
  </si>
  <si>
    <t>pUmem_Cmd_29_JogIncDist</t>
  </si>
  <si>
    <t>pUmem_Cmd_29_JogSpeed</t>
  </si>
  <si>
    <t>pUmem_Cmd_29_JogTa</t>
  </si>
  <si>
    <t>pUmem_Cmd_29_JogTs</t>
  </si>
  <si>
    <t>pUmem_Cmd_30_ServoOn</t>
  </si>
  <si>
    <t>pUmem_Cmd_30_ServoOff</t>
  </si>
  <si>
    <t>pUmem_Cmd_30_HomeStart</t>
  </si>
  <si>
    <t>pUmem_Cmd_30_HomeStop</t>
  </si>
  <si>
    <t>pUmem_Cmd_30_HomeOffset</t>
  </si>
  <si>
    <t>pUmem_Cmd_30_JogStop</t>
  </si>
  <si>
    <t>pUmem_Cmd_30_JogContPlus</t>
  </si>
  <si>
    <t>pUmem_Cmd_30_JogContMinus</t>
  </si>
  <si>
    <t>pUmem_Cmd_30_JogAbsMove</t>
  </si>
  <si>
    <t>pUmem_Cmd_30_JogIncMove</t>
  </si>
  <si>
    <t>pUmem_Cmd_30_JogAbsPos</t>
  </si>
  <si>
    <t>pUmem_Cmd_30_JogIncDist</t>
  </si>
  <si>
    <t>pUmem_Cmd_30_JogSpeed</t>
  </si>
  <si>
    <t>pUmem_Cmd_30_JogTa</t>
  </si>
  <si>
    <t>pUmem_Cmd_30_JogTs</t>
  </si>
  <si>
    <t>pUmem_Cmd_31_ServoOn</t>
  </si>
  <si>
    <t>pUmem_Cmd_31_ServoOff</t>
  </si>
  <si>
    <t>pUmem_Cmd_31_HomeStart</t>
  </si>
  <si>
    <t>pUmem_Cmd_31_HomeStop</t>
  </si>
  <si>
    <t>pUmem_Cmd_31_HomeOffset</t>
  </si>
  <si>
    <t>pUmem_Cmd_31_JogStop</t>
  </si>
  <si>
    <t>pUmem_Cmd_31_JogContPlus</t>
  </si>
  <si>
    <t>pUmem_Cmd_31_JogContMinus</t>
  </si>
  <si>
    <t>pUmem_Cmd_31_JogAbsMove</t>
  </si>
  <si>
    <t>pUmem_Cmd_31_JogIncMove</t>
  </si>
  <si>
    <t>pUmem_Cmd_31_JogAbsPos</t>
  </si>
  <si>
    <t>pUmem_Cmd_31_JogIncDist</t>
  </si>
  <si>
    <t>pUmem_Cmd_31_JogSpeed</t>
  </si>
  <si>
    <t>pUmem_Cmd_31_JogTa</t>
  </si>
  <si>
    <t>pUmem_Cmd_31_JogTs</t>
  </si>
  <si>
    <t>pUmem_Cmd_32_ServoOn</t>
  </si>
  <si>
    <t>pUmem_Cmd_32_ServoOff</t>
  </si>
  <si>
    <t>pUmem_Cmd_32_HomeStart</t>
  </si>
  <si>
    <t>pUmem_Cmd_32_HomeStop</t>
  </si>
  <si>
    <t>pUmem_Cmd_32_HomeOffset</t>
  </si>
  <si>
    <t>pUmem_Cmd_32_JogStop</t>
  </si>
  <si>
    <t>pUmem_Cmd_32_JogContPlus</t>
  </si>
  <si>
    <t>pUmem_Cmd_32_JogContMinus</t>
  </si>
  <si>
    <t>pUmem_Cmd_32_JogAbsMove</t>
  </si>
  <si>
    <t>pUmem_Cmd_32_JogIncMove</t>
  </si>
  <si>
    <t>pUmem_Cmd_32_JogAbsPos</t>
  </si>
  <si>
    <t>pUmem_Cmd_32_JogIncDist</t>
  </si>
  <si>
    <t>pUmem_Cmd_32_JogSpeed</t>
  </si>
  <si>
    <t>pUmem_Cmd_32_JogTa</t>
  </si>
  <si>
    <t>pUmem_Cmd_32_JogTs</t>
  </si>
  <si>
    <t>pUmem_Sta_09_CmdPos</t>
  </si>
  <si>
    <t>pUmem_Sta_09_ActPos</t>
  </si>
  <si>
    <t>pUmem_Sta_09_Velocity</t>
  </si>
  <si>
    <t xml:space="preserve">pUmem_Sta_09_Load </t>
  </si>
  <si>
    <t>pUmem_Sta_09_AmpEna</t>
  </si>
  <si>
    <t>pUmem_Sta_09_CloseLoop</t>
  </si>
  <si>
    <t>pUmem_Sta_09_InPos</t>
  </si>
  <si>
    <t>pUmem_Sta_09_HomeFin</t>
  </si>
  <si>
    <t>pUmem_Sta_09_HomeIng</t>
  </si>
  <si>
    <t>pUmem_Sta_09_LimitMinus</t>
  </si>
  <si>
    <t>pUmem_Sta_09_LimitPlus</t>
  </si>
  <si>
    <t>pUmem_Sta_09_FollowingErr</t>
  </si>
  <si>
    <t>pUmem_Sta_09_AmpFault</t>
  </si>
  <si>
    <t>pUmem_Sta_09_EncLoss</t>
  </si>
  <si>
    <t>pUmem_Sta_09_I2tErr</t>
  </si>
  <si>
    <t>pUmem_Sta_10_CmdPos</t>
  </si>
  <si>
    <t>pUmem_Sta_10_ActPos</t>
  </si>
  <si>
    <t>pUmem_Sta_10_Velocity</t>
  </si>
  <si>
    <t xml:space="preserve">pUmem_Sta_10_Load </t>
  </si>
  <si>
    <t>pUmem_Sta_10_AmpEna</t>
  </si>
  <si>
    <t>pUmem_Sta_10_CloseLoop</t>
  </si>
  <si>
    <t>pUmem_Sta_10_InPos</t>
  </si>
  <si>
    <t>pUmem_Sta_10_HomeFin</t>
  </si>
  <si>
    <t>pUmem_Sta_10_HomeIng</t>
  </si>
  <si>
    <t>pUmem_Sta_10_LimitMinus</t>
  </si>
  <si>
    <t>pUmem_Sta_10_LimitPlus</t>
  </si>
  <si>
    <t>pUmem_Sta_10_FollowingErr</t>
  </si>
  <si>
    <t>pUmem_Sta_10_AmpFault</t>
  </si>
  <si>
    <t>pUmem_Sta_10_EncLoss</t>
  </si>
  <si>
    <t>pUmem_Sta_10_I2tErr</t>
  </si>
  <si>
    <t>pUmem_Sta_11_CmdPos</t>
  </si>
  <si>
    <t>pUmem_Sta_11_ActPos</t>
  </si>
  <si>
    <t>pUmem_Sta_11_Velocity</t>
  </si>
  <si>
    <t xml:space="preserve">pUmem_Sta_11_Load </t>
  </si>
  <si>
    <t>pUmem_Sta_11_AmpEna</t>
  </si>
  <si>
    <t>pUmem_Sta_11_CloseLoop</t>
  </si>
  <si>
    <t>pUmem_Sta_11_InPos</t>
  </si>
  <si>
    <t>pUmem_Sta_11_HomeFin</t>
  </si>
  <si>
    <t>pUmem_Sta_11_HomeIng</t>
  </si>
  <si>
    <t>pUmem_Sta_11_LimitMinus</t>
  </si>
  <si>
    <t>pUmem_Sta_11_LimitPlus</t>
  </si>
  <si>
    <t>pUmem_Sta_11_FollowingErr</t>
  </si>
  <si>
    <t>pUmem_Sta_11_AmpFault</t>
  </si>
  <si>
    <t>pUmem_Sta_11_EncLoss</t>
  </si>
  <si>
    <t>pUmem_Sta_11_I2tErr</t>
  </si>
  <si>
    <t>pUmem_Sta_12_CmdPos</t>
  </si>
  <si>
    <t>pUmem_Sta_12_ActPos</t>
  </si>
  <si>
    <t>pUmem_Sta_12_Velocity</t>
  </si>
  <si>
    <t xml:space="preserve">pUmem_Sta_12_Load </t>
  </si>
  <si>
    <t>pUmem_Sta_12_AmpEna</t>
  </si>
  <si>
    <t>pUmem_Sta_12_CloseLoop</t>
  </si>
  <si>
    <t>pUmem_Sta_12_InPos</t>
  </si>
  <si>
    <t>pUmem_Sta_12_HomeFin</t>
  </si>
  <si>
    <t>pUmem_Sta_12_HomeIng</t>
  </si>
  <si>
    <t>pUmem_Sta_12_LimitMinus</t>
  </si>
  <si>
    <t>pUmem_Sta_12_LimitPlus</t>
  </si>
  <si>
    <t>pUmem_Sta_12_FollowingErr</t>
  </si>
  <si>
    <t>pUmem_Sta_12_AmpFault</t>
  </si>
  <si>
    <t>pUmem_Sta_12_EncLoss</t>
  </si>
  <si>
    <t>pUmem_Sta_12_I2tErr</t>
  </si>
  <si>
    <t>pUmem_Sta_13_CmdPos</t>
  </si>
  <si>
    <t>pUmem_Sta_13_ActPos</t>
  </si>
  <si>
    <t>pUmem_Sta_13_Velocity</t>
  </si>
  <si>
    <t xml:space="preserve">pUmem_Sta_13_Load </t>
  </si>
  <si>
    <t>pUmem_Sta_13_AmpEna</t>
  </si>
  <si>
    <t>pUmem_Sta_13_CloseLoop</t>
  </si>
  <si>
    <t>pUmem_Sta_13_InPos</t>
  </si>
  <si>
    <t>pUmem_Sta_13_HomeFin</t>
  </si>
  <si>
    <t>pUmem_Sta_13_HomeIng</t>
  </si>
  <si>
    <t>pUmem_Sta_13_LimitMinus</t>
  </si>
  <si>
    <t>pUmem_Sta_13_LimitPlus</t>
  </si>
  <si>
    <t>pUmem_Sta_13_FollowingErr</t>
  </si>
  <si>
    <t>pUmem_Sta_13_AmpFault</t>
  </si>
  <si>
    <t>pUmem_Sta_13_EncLoss</t>
  </si>
  <si>
    <t>pUmem_Sta_13_I2tErr</t>
  </si>
  <si>
    <t>pUmem_Sta_14_CmdPos</t>
  </si>
  <si>
    <t>pUmem_Sta_14_ActPos</t>
  </si>
  <si>
    <t>pUmem_Sta_14_Velocity</t>
  </si>
  <si>
    <t xml:space="preserve">pUmem_Sta_14_Load </t>
  </si>
  <si>
    <t>pUmem_Sta_14_AmpEna</t>
  </si>
  <si>
    <t>pUmem_Sta_14_CloseLoop</t>
  </si>
  <si>
    <t>pUmem_Sta_14_InPos</t>
  </si>
  <si>
    <t>pUmem_Sta_14_HomeFin</t>
  </si>
  <si>
    <t>pUmem_Sta_14_HomeIng</t>
  </si>
  <si>
    <t>pUmem_Sta_14_LimitMinus</t>
  </si>
  <si>
    <t>pUmem_Sta_14_LimitPlus</t>
  </si>
  <si>
    <t>pUmem_Sta_14_FollowingErr</t>
  </si>
  <si>
    <t>pUmem_Sta_14_AmpFault</t>
  </si>
  <si>
    <t>pUmem_Sta_14_EncLoss</t>
  </si>
  <si>
    <t>pUmem_Sta_14_I2tErr</t>
  </si>
  <si>
    <t>pUmem_Sta_15_CmdPos</t>
  </si>
  <si>
    <t>pUmem_Sta_15_ActPos</t>
  </si>
  <si>
    <t>pUmem_Sta_15_Velocity</t>
  </si>
  <si>
    <t xml:space="preserve">pUmem_Sta_15_Load </t>
  </si>
  <si>
    <t>pUmem_Sta_15_AmpEna</t>
  </si>
  <si>
    <t>pUmem_Sta_15_CloseLoop</t>
  </si>
  <si>
    <t>pUmem_Sta_15_InPos</t>
  </si>
  <si>
    <t>pUmem_Sta_15_HomeFin</t>
  </si>
  <si>
    <t>pUmem_Sta_15_HomeIng</t>
  </si>
  <si>
    <t>pUmem_Sta_15_LimitMinus</t>
  </si>
  <si>
    <t>pUmem_Sta_15_LimitPlus</t>
  </si>
  <si>
    <t>pUmem_Sta_15_FollowingErr</t>
  </si>
  <si>
    <t>pUmem_Sta_15_AmpFault</t>
  </si>
  <si>
    <t>pUmem_Sta_15_EncLoss</t>
  </si>
  <si>
    <t>pUmem_Sta_15_I2tErr</t>
  </si>
  <si>
    <t>pUmem_Sta_16_CmdPos</t>
  </si>
  <si>
    <t>pUmem_Sta_16_ActPos</t>
  </si>
  <si>
    <t>pUmem_Sta_16_Velocity</t>
  </si>
  <si>
    <t xml:space="preserve">pUmem_Sta_16_Load </t>
  </si>
  <si>
    <t>pUmem_Sta_16_AmpEna</t>
  </si>
  <si>
    <t>pUmem_Sta_16_CloseLoop</t>
  </si>
  <si>
    <t>pUmem_Sta_16_InPos</t>
  </si>
  <si>
    <t>pUmem_Sta_16_HomeFin</t>
  </si>
  <si>
    <t>pUmem_Sta_16_HomeIng</t>
  </si>
  <si>
    <t>pUmem_Sta_16_LimitMinus</t>
  </si>
  <si>
    <t>pUmem_Sta_16_LimitPlus</t>
  </si>
  <si>
    <t>pUmem_Sta_16_FollowingErr</t>
  </si>
  <si>
    <t>pUmem_Sta_16_AmpFault</t>
  </si>
  <si>
    <t>pUmem_Sta_16_EncLoss</t>
  </si>
  <si>
    <t>pUmem_Sta_16_I2tErr</t>
  </si>
  <si>
    <t>pUmem_Sta_17_CmdPos</t>
  </si>
  <si>
    <t>pUmem_Sta_17_ActPos</t>
  </si>
  <si>
    <t>pUmem_Sta_17_Velocity</t>
  </si>
  <si>
    <t xml:space="preserve">pUmem_Sta_17_Load </t>
  </si>
  <si>
    <t>pUmem_Sta_17_AmpEna</t>
  </si>
  <si>
    <t>pUmem_Sta_17_CloseLoop</t>
  </si>
  <si>
    <t>pUmem_Sta_17_InPos</t>
  </si>
  <si>
    <t>pUmem_Sta_17_HomeFin</t>
  </si>
  <si>
    <t>pUmem_Sta_17_HomeIng</t>
  </si>
  <si>
    <t>pUmem_Sta_17_LimitMinus</t>
  </si>
  <si>
    <t>pUmem_Sta_17_LimitPlus</t>
  </si>
  <si>
    <t>pUmem_Sta_17_FollowingErr</t>
  </si>
  <si>
    <t>pUmem_Sta_17_AmpFault</t>
  </si>
  <si>
    <t>pUmem_Sta_17_EncLoss</t>
  </si>
  <si>
    <t>pUmem_Sta_17_I2tErr</t>
  </si>
  <si>
    <t>pUmem_Sta_18_CmdPos</t>
  </si>
  <si>
    <t>pUmem_Sta_18_ActPos</t>
  </si>
  <si>
    <t>pUmem_Sta_18_Velocity</t>
  </si>
  <si>
    <t xml:space="preserve">pUmem_Sta_18_Load </t>
  </si>
  <si>
    <t>pUmem_Sta_18_AmpEna</t>
  </si>
  <si>
    <t>pUmem_Sta_18_CloseLoop</t>
  </si>
  <si>
    <t>pUmem_Sta_18_InPos</t>
  </si>
  <si>
    <t>pUmem_Sta_18_HomeFin</t>
  </si>
  <si>
    <t>pUmem_Sta_18_HomeIng</t>
  </si>
  <si>
    <t>pUmem_Sta_18_LimitMinus</t>
  </si>
  <si>
    <t>pUmem_Sta_18_LimitPlus</t>
  </si>
  <si>
    <t>pUmem_Sta_18_FollowingErr</t>
  </si>
  <si>
    <t>pUmem_Sta_18_AmpFault</t>
  </si>
  <si>
    <t>pUmem_Sta_18_EncLoss</t>
  </si>
  <si>
    <t>pUmem_Sta_18_I2tErr</t>
  </si>
  <si>
    <t>pUmem_Sta_19_CmdPos</t>
  </si>
  <si>
    <t>pUmem_Sta_19_ActPos</t>
  </si>
  <si>
    <t>pUmem_Sta_19_Velocity</t>
  </si>
  <si>
    <t xml:space="preserve">pUmem_Sta_19_Load </t>
  </si>
  <si>
    <t>pUmem_Sta_19_AmpEna</t>
  </si>
  <si>
    <t>pUmem_Sta_19_CloseLoop</t>
  </si>
  <si>
    <t>pUmem_Sta_19_InPos</t>
  </si>
  <si>
    <t>pUmem_Sta_19_HomeFin</t>
  </si>
  <si>
    <t>pUmem_Sta_19_HomeIng</t>
  </si>
  <si>
    <t>pUmem_Sta_19_LimitMinus</t>
  </si>
  <si>
    <t>pUmem_Sta_19_LimitPlus</t>
  </si>
  <si>
    <t>pUmem_Sta_19_FollowingErr</t>
  </si>
  <si>
    <t>pUmem_Sta_19_AmpFault</t>
  </si>
  <si>
    <t>pUmem_Sta_19_EncLoss</t>
  </si>
  <si>
    <t>pUmem_Sta_19_I2tErr</t>
  </si>
  <si>
    <t>pUmem_Sta_20_CmdPos</t>
  </si>
  <si>
    <t>pUmem_Sta_20_ActPos</t>
  </si>
  <si>
    <t>pUmem_Sta_20_Velocity</t>
  </si>
  <si>
    <t xml:space="preserve">pUmem_Sta_20_Load </t>
  </si>
  <si>
    <t>pUmem_Sta_20_AmpEna</t>
  </si>
  <si>
    <t>pUmem_Sta_20_CloseLoop</t>
  </si>
  <si>
    <t>pUmem_Sta_20_InPos</t>
  </si>
  <si>
    <t>pUmem_Sta_20_HomeFin</t>
  </si>
  <si>
    <t>pUmem_Sta_20_HomeIng</t>
  </si>
  <si>
    <t>pUmem_Sta_20_LimitMinus</t>
  </si>
  <si>
    <t>pUmem_Sta_20_LimitPlus</t>
  </si>
  <si>
    <t>pUmem_Sta_20_FollowingErr</t>
  </si>
  <si>
    <t>pUmem_Sta_20_AmpFault</t>
  </si>
  <si>
    <t>pUmem_Sta_20_EncLoss</t>
  </si>
  <si>
    <t>pUmem_Sta_20_I2tErr</t>
  </si>
  <si>
    <t>pUmem_Sta_21_CmdPos</t>
  </si>
  <si>
    <t>pUmem_Sta_21_ActPos</t>
  </si>
  <si>
    <t>pUmem_Sta_21_Velocity</t>
  </si>
  <si>
    <t xml:space="preserve">pUmem_Sta_21_Load </t>
  </si>
  <si>
    <t>pUmem_Sta_21_AmpEna</t>
  </si>
  <si>
    <t>pUmem_Sta_21_CloseLoop</t>
  </si>
  <si>
    <t>pUmem_Sta_21_InPos</t>
  </si>
  <si>
    <t>pUmem_Sta_21_HomeFin</t>
  </si>
  <si>
    <t>pUmem_Sta_21_HomeIng</t>
  </si>
  <si>
    <t>pUmem_Sta_21_LimitMinus</t>
  </si>
  <si>
    <t>pUmem_Sta_21_LimitPlus</t>
  </si>
  <si>
    <t>pUmem_Sta_21_FollowingErr</t>
  </si>
  <si>
    <t>pUmem_Sta_21_AmpFault</t>
  </si>
  <si>
    <t>pUmem_Sta_21_EncLoss</t>
  </si>
  <si>
    <t>pUmem_Sta_21_I2tErr</t>
  </si>
  <si>
    <t>pUmem_Sta_22_CmdPos</t>
  </si>
  <si>
    <t>pUmem_Sta_22_ActPos</t>
  </si>
  <si>
    <t>pUmem_Sta_22_Velocity</t>
  </si>
  <si>
    <t xml:space="preserve">pUmem_Sta_22_Load </t>
  </si>
  <si>
    <t>pUmem_Sta_22_AmpEna</t>
  </si>
  <si>
    <t>pUmem_Sta_22_CloseLoop</t>
  </si>
  <si>
    <t>pUmem_Sta_22_InPos</t>
  </si>
  <si>
    <t>pUmem_Sta_22_HomeFin</t>
  </si>
  <si>
    <t>pUmem_Sta_22_HomeIng</t>
  </si>
  <si>
    <t>pUmem_Sta_22_LimitMinus</t>
  </si>
  <si>
    <t>pUmem_Sta_22_LimitPlus</t>
  </si>
  <si>
    <t>pUmem_Sta_22_FollowingErr</t>
  </si>
  <si>
    <t>pUmem_Sta_22_AmpFault</t>
  </si>
  <si>
    <t>pUmem_Sta_22_EncLoss</t>
  </si>
  <si>
    <t>pUmem_Sta_22_I2tErr</t>
  </si>
  <si>
    <t>pUmem_Sta_23_CmdPos</t>
  </si>
  <si>
    <t>pUmem_Sta_23_ActPos</t>
  </si>
  <si>
    <t>pUmem_Sta_23_Velocity</t>
  </si>
  <si>
    <t xml:space="preserve">pUmem_Sta_23_Load </t>
  </si>
  <si>
    <t>pUmem_Sta_23_AmpEna</t>
  </si>
  <si>
    <t>pUmem_Sta_23_CloseLoop</t>
  </si>
  <si>
    <t>pUmem_Sta_23_InPos</t>
  </si>
  <si>
    <t>pUmem_Sta_23_HomeFin</t>
  </si>
  <si>
    <t>pUmem_Sta_23_HomeIng</t>
  </si>
  <si>
    <t>pUmem_Sta_23_LimitMinus</t>
  </si>
  <si>
    <t>pUmem_Sta_23_LimitPlus</t>
  </si>
  <si>
    <t>pUmem_Sta_23_FollowingErr</t>
  </si>
  <si>
    <t>pUmem_Sta_23_AmpFault</t>
  </si>
  <si>
    <t>pUmem_Sta_23_EncLoss</t>
  </si>
  <si>
    <t>pUmem_Sta_23_I2tErr</t>
  </si>
  <si>
    <t>pUmem_Sta_24_CmdPos</t>
  </si>
  <si>
    <t>pUmem_Sta_24_ActPos</t>
  </si>
  <si>
    <t>pUmem_Sta_24_Velocity</t>
  </si>
  <si>
    <t xml:space="preserve">pUmem_Sta_24_Load </t>
  </si>
  <si>
    <t>pUmem_Sta_24_AmpEna</t>
  </si>
  <si>
    <t>pUmem_Sta_24_CloseLoop</t>
  </si>
  <si>
    <t>pUmem_Sta_24_InPos</t>
  </si>
  <si>
    <t>pUmem_Sta_24_HomeFin</t>
  </si>
  <si>
    <t>pUmem_Sta_24_HomeIng</t>
  </si>
  <si>
    <t>pUmem_Sta_24_LimitMinus</t>
  </si>
  <si>
    <t>pUmem_Sta_24_LimitPlus</t>
  </si>
  <si>
    <t>pUmem_Sta_24_FollowingErr</t>
  </si>
  <si>
    <t>pUmem_Sta_24_AmpFault</t>
  </si>
  <si>
    <t>pUmem_Sta_24_EncLoss</t>
  </si>
  <si>
    <t>pUmem_Sta_24_I2tErr</t>
  </si>
  <si>
    <t>pUmem_Sta_25_CmdPos</t>
  </si>
  <si>
    <t>pUmem_Sta_25_ActPos</t>
  </si>
  <si>
    <t>pUmem_Sta_25_Velocity</t>
  </si>
  <si>
    <t xml:space="preserve">pUmem_Sta_25_Load </t>
  </si>
  <si>
    <t>pUmem_Sta_25_AmpEna</t>
  </si>
  <si>
    <t>pUmem_Sta_25_CloseLoop</t>
  </si>
  <si>
    <t>pUmem_Sta_25_InPos</t>
  </si>
  <si>
    <t>pUmem_Sta_25_HomeFin</t>
  </si>
  <si>
    <t>pUmem_Sta_25_HomeIng</t>
  </si>
  <si>
    <t>pUmem_Sta_25_LimitMinus</t>
  </si>
  <si>
    <t>pUmem_Sta_25_LimitPlus</t>
  </si>
  <si>
    <t>pUmem_Sta_25_FollowingErr</t>
  </si>
  <si>
    <t>pUmem_Sta_25_AmpFault</t>
  </si>
  <si>
    <t>pUmem_Sta_25_EncLoss</t>
  </si>
  <si>
    <t>pUmem_Sta_25_I2tErr</t>
  </si>
  <si>
    <t>pUmem_Sta_26_CmdPos</t>
  </si>
  <si>
    <t>pUmem_Sta_26_ActPos</t>
  </si>
  <si>
    <t>pUmem_Sta_26_Velocity</t>
  </si>
  <si>
    <t xml:space="preserve">pUmem_Sta_26_Load </t>
  </si>
  <si>
    <t>pUmem_Sta_26_AmpEna</t>
  </si>
  <si>
    <t>pUmem_Sta_26_CloseLoop</t>
  </si>
  <si>
    <t>pUmem_Sta_26_InPos</t>
  </si>
  <si>
    <t>pUmem_Sta_26_HomeFin</t>
  </si>
  <si>
    <t>pUmem_Sta_26_HomeIng</t>
  </si>
  <si>
    <t>pUmem_Sta_26_LimitMinus</t>
  </si>
  <si>
    <t>pUmem_Sta_26_LimitPlus</t>
  </si>
  <si>
    <t>pUmem_Sta_26_FollowingErr</t>
  </si>
  <si>
    <t>pUmem_Sta_26_AmpFault</t>
  </si>
  <si>
    <t>pUmem_Sta_26_EncLoss</t>
  </si>
  <si>
    <t>pUmem_Sta_26_I2tErr</t>
  </si>
  <si>
    <t>pUmem_Sta_27_CmdPos</t>
  </si>
  <si>
    <t>pUmem_Sta_27_ActPos</t>
  </si>
  <si>
    <t>pUmem_Sta_27_Velocity</t>
  </si>
  <si>
    <t xml:space="preserve">pUmem_Sta_27_Load </t>
  </si>
  <si>
    <t>pUmem_Sta_27_AmpEna</t>
  </si>
  <si>
    <t>pUmem_Sta_27_CloseLoop</t>
  </si>
  <si>
    <t>pUmem_Sta_27_InPos</t>
  </si>
  <si>
    <t>pUmem_Sta_27_HomeFin</t>
  </si>
  <si>
    <t>pUmem_Sta_27_HomeIng</t>
  </si>
  <si>
    <t>pUmem_Sta_27_LimitMinus</t>
  </si>
  <si>
    <t>pUmem_Sta_27_LimitPlus</t>
  </si>
  <si>
    <t>pUmem_Sta_27_FollowingErr</t>
  </si>
  <si>
    <t>pUmem_Sta_27_AmpFault</t>
  </si>
  <si>
    <t>pUmem_Sta_27_EncLoss</t>
  </si>
  <si>
    <t>pUmem_Sta_27_I2tErr</t>
  </si>
  <si>
    <t>pUmem_Sta_28_CmdPos</t>
  </si>
  <si>
    <t>pUmem_Sta_28_ActPos</t>
  </si>
  <si>
    <t>pUmem_Sta_28_Velocity</t>
  </si>
  <si>
    <t xml:space="preserve">pUmem_Sta_28_Load </t>
  </si>
  <si>
    <t>pUmem_Sta_28_AmpEna</t>
  </si>
  <si>
    <t>pUmem_Sta_28_CloseLoop</t>
  </si>
  <si>
    <t>pUmem_Sta_28_InPos</t>
  </si>
  <si>
    <t>pUmem_Sta_28_HomeFin</t>
  </si>
  <si>
    <t>pUmem_Sta_28_HomeIng</t>
  </si>
  <si>
    <t>pUmem_Sta_28_LimitMinus</t>
  </si>
  <si>
    <t>pUmem_Sta_28_LimitPlus</t>
  </si>
  <si>
    <t>pUmem_Sta_28_FollowingErr</t>
  </si>
  <si>
    <t>pUmem_Sta_28_AmpFault</t>
  </si>
  <si>
    <t>pUmem_Sta_28_EncLoss</t>
  </si>
  <si>
    <t>pUmem_Sta_28_I2tErr</t>
  </si>
  <si>
    <t>pUmem_Sta_29_CmdPos</t>
  </si>
  <si>
    <t>pUmem_Sta_29_ActPos</t>
  </si>
  <si>
    <t>pUmem_Sta_29_Velocity</t>
  </si>
  <si>
    <t xml:space="preserve">pUmem_Sta_29_Load </t>
  </si>
  <si>
    <t>pUmem_Sta_29_AmpEna</t>
  </si>
  <si>
    <t>pUmem_Sta_29_CloseLoop</t>
  </si>
  <si>
    <t>pUmem_Sta_29_InPos</t>
  </si>
  <si>
    <t>pUmem_Sta_29_HomeFin</t>
  </si>
  <si>
    <t>pUmem_Sta_29_HomeIng</t>
  </si>
  <si>
    <t>pUmem_Sta_29_LimitMinus</t>
  </si>
  <si>
    <t>pUmem_Sta_29_LimitPlus</t>
  </si>
  <si>
    <t>pUmem_Sta_29_FollowingErr</t>
  </si>
  <si>
    <t>pUmem_Sta_29_AmpFault</t>
  </si>
  <si>
    <t>pUmem_Sta_29_EncLoss</t>
  </si>
  <si>
    <t>pUmem_Sta_29_I2tErr</t>
  </si>
  <si>
    <t>pUmem_Sta_30_CmdPos</t>
  </si>
  <si>
    <t>pUmem_Sta_30_ActPos</t>
  </si>
  <si>
    <t>pUmem_Sta_30_Velocity</t>
  </si>
  <si>
    <t xml:space="preserve">pUmem_Sta_30_Load </t>
  </si>
  <si>
    <t>pUmem_Sta_30_AmpEna</t>
  </si>
  <si>
    <t>pUmem_Sta_30_CloseLoop</t>
  </si>
  <si>
    <t>pUmem_Sta_30_InPos</t>
  </si>
  <si>
    <t>pUmem_Sta_30_HomeFin</t>
  </si>
  <si>
    <t>pUmem_Sta_30_HomeIng</t>
  </si>
  <si>
    <t>pUmem_Sta_30_LimitMinus</t>
  </si>
  <si>
    <t>pUmem_Sta_30_LimitPlus</t>
  </si>
  <si>
    <t>pUmem_Sta_30_FollowingErr</t>
  </si>
  <si>
    <t>pUmem_Sta_30_AmpFault</t>
  </si>
  <si>
    <t>pUmem_Sta_30_EncLoss</t>
  </si>
  <si>
    <t>pUmem_Sta_30_I2tErr</t>
  </si>
  <si>
    <t>pUmem_Sta_31_CmdPos</t>
  </si>
  <si>
    <t>pUmem_Sta_31_ActPos</t>
  </si>
  <si>
    <t>pUmem_Sta_31_Velocity</t>
  </si>
  <si>
    <t xml:space="preserve">pUmem_Sta_31_Load </t>
  </si>
  <si>
    <t>pUmem_Sta_31_AmpEna</t>
  </si>
  <si>
    <t>pUmem_Sta_31_CloseLoop</t>
  </si>
  <si>
    <t>pUmem_Sta_31_InPos</t>
  </si>
  <si>
    <t>pUmem_Sta_31_HomeFin</t>
  </si>
  <si>
    <t>pUmem_Sta_31_HomeIng</t>
  </si>
  <si>
    <t>pUmem_Sta_31_LimitMinus</t>
  </si>
  <si>
    <t>pUmem_Sta_31_LimitPlus</t>
  </si>
  <si>
    <t>pUmem_Sta_31_FollowingErr</t>
  </si>
  <si>
    <t>pUmem_Sta_31_AmpFault</t>
  </si>
  <si>
    <t>pUmem_Sta_31_EncLoss</t>
  </si>
  <si>
    <t>pUmem_Sta_31_I2tErr</t>
  </si>
  <si>
    <t>pUmem_Sta_32_CmdPos</t>
  </si>
  <si>
    <t>pUmem_Sta_32_ActPos</t>
  </si>
  <si>
    <t>pUmem_Sta_32_Velocity</t>
  </si>
  <si>
    <t xml:space="preserve">pUmem_Sta_32_Load </t>
  </si>
  <si>
    <t>pUmem_Sta_32_AmpEna</t>
  </si>
  <si>
    <t>pUmem_Sta_32_CloseLoop</t>
  </si>
  <si>
    <t>pUmem_Sta_32_InPos</t>
  </si>
  <si>
    <t>pUmem_Sta_32_HomeFin</t>
  </si>
  <si>
    <t>pUmem_Sta_32_HomeIng</t>
  </si>
  <si>
    <t>pUmem_Sta_32_LimitMinus</t>
  </si>
  <si>
    <t>pUmem_Sta_32_LimitPlus</t>
  </si>
  <si>
    <t>pUmem_Sta_32_FollowingErr</t>
  </si>
  <si>
    <t>pUmem_Sta_32_AmpFault</t>
  </si>
  <si>
    <t>pUmem_Sta_32_EncLoss</t>
  </si>
  <si>
    <t>pUmem_Sta_32_I2tErr</t>
  </si>
  <si>
    <t>pUmem_Sta_01_Velocity</t>
    <phoneticPr fontId="3" type="noConversion"/>
  </si>
  <si>
    <t>pUmem_Sta_CmdPos(01)</t>
  </si>
  <si>
    <t>pUmem_Sta_CmdPos(02)</t>
  </si>
  <si>
    <t>pUmem_Sta_CmdPos(03)</t>
  </si>
  <si>
    <t>pUmem_Sta_CmdPos(04)</t>
  </si>
  <si>
    <t>pUmem_Sta_CmdPos(05)</t>
  </si>
  <si>
    <t>pUmem_Sta_CmdPos(06)</t>
  </si>
  <si>
    <t>pUmem_Sta_CmdPos(07)</t>
  </si>
  <si>
    <t>pUmem_Sta_CmdPos(08)</t>
  </si>
  <si>
    <t>pUmem_Sta_CmdPos(09)</t>
  </si>
  <si>
    <t>pUmem_Sta_CmdPos(10)</t>
  </si>
  <si>
    <t>pUmem_Sta_CmdPos(11)</t>
  </si>
  <si>
    <t>pUmem_Sta_CmdPos(12)</t>
  </si>
  <si>
    <t>pUmem_Sta_CmdPos(13)</t>
  </si>
  <si>
    <t>pUmem_Sta_CmdPos(14)</t>
  </si>
  <si>
    <t>pUmem_Sta_CmdPos(15)</t>
  </si>
  <si>
    <t>pUmem_Sta_CmdPos(16)</t>
  </si>
  <si>
    <t>pUmem_Sta_CmdPos(17)</t>
  </si>
  <si>
    <t>pUmem_Sta_CmdPos(18)</t>
  </si>
  <si>
    <t>pUmem_Sta_CmdPos(19)</t>
  </si>
  <si>
    <t>pUmem_Sta_CmdPos(20)</t>
  </si>
  <si>
    <t>pUmem_Sta_CmdPos(21)</t>
  </si>
  <si>
    <t>pUmem_Sta_CmdPos(22)</t>
  </si>
  <si>
    <t>pUmem_Sta_CmdPos(23)</t>
  </si>
  <si>
    <t>pUmem_Sta_CmdPos(24)</t>
  </si>
  <si>
    <t>pUmem_Sta_CmdPos(25)</t>
  </si>
  <si>
    <t>pUmem_Sta_CmdPos(26)</t>
  </si>
  <si>
    <t>pUmem_Sta_CmdPos(27)</t>
  </si>
  <si>
    <t>pUmem_Sta_CmdPos(28)</t>
  </si>
  <si>
    <t>pUmem_Sta_CmdPos(29)</t>
  </si>
  <si>
    <t>pUmem_Sta_CmdPos(30)</t>
  </si>
  <si>
    <t>pUmem_Sta_CmdPos(31)</t>
  </si>
  <si>
    <t>pUmem_Sta_CmdPos(32)</t>
  </si>
  <si>
    <t>-&gt;i.user:$</t>
  </si>
  <si>
    <t>pUmem_Sta_ActPos(01)</t>
  </si>
  <si>
    <t>pUmem_Sta_Velocity(01)</t>
  </si>
  <si>
    <t>pUmem_Sta_Load(01)</t>
  </si>
  <si>
    <t>pUmem_Sta_AmpEna(01)</t>
  </si>
  <si>
    <t>pUmem_Sta_CloseLoop(01)</t>
  </si>
  <si>
    <t>pUmem_Sta_InPos(01)</t>
  </si>
  <si>
    <t>pUmem_Sta_HomeFin(01)</t>
  </si>
  <si>
    <t>pUmem_Sta_HomeIng(01)</t>
  </si>
  <si>
    <t>pUmem_Sta_LimitMinus(01)</t>
  </si>
  <si>
    <t>pUmem_Sta_LimitPlus(01)</t>
  </si>
  <si>
    <t>pUmem_Sta_FollowingErr(01)</t>
  </si>
  <si>
    <t>pUmem_Sta_AmpFault(01)</t>
  </si>
  <si>
    <t>pUmem_Sta_EncLoss(01)</t>
  </si>
  <si>
    <t>pUmem_Sta_I2tErr(01)</t>
  </si>
  <si>
    <t>pUmem_Sta_I2tErr(02)</t>
  </si>
  <si>
    <t>pUmem_Sta_I2tErr(03)</t>
  </si>
  <si>
    <t>pUmem_Sta_I2tErr(04)</t>
  </si>
  <si>
    <t>pUmem_Sta_I2tErr(05)</t>
  </si>
  <si>
    <t>pUmem_Sta_I2tErr(06)</t>
  </si>
  <si>
    <t>pUmem_Sta_I2tErr(07)</t>
  </si>
  <si>
    <t>pUmem_Sta_I2tErr(08)</t>
  </si>
  <si>
    <t>pUmem_Sta_I2tErr(09)</t>
  </si>
  <si>
    <t>pUmem_Sta_I2tErr(10)</t>
  </si>
  <si>
    <t>pUmem_Sta_I2tErr(11)</t>
  </si>
  <si>
    <t>pUmem_Sta_I2tErr(12)</t>
  </si>
  <si>
    <t>pUmem_Sta_I2tErr(13)</t>
  </si>
  <si>
    <t>pUmem_Sta_I2tErr(14)</t>
  </si>
  <si>
    <t>pUmem_Sta_I2tErr(15)</t>
  </si>
  <si>
    <t>pUmem_Sta_I2tErr(16)</t>
  </si>
  <si>
    <t>pUmem_Sta_I2tErr(17)</t>
  </si>
  <si>
    <t>pUmem_Sta_I2tErr(18)</t>
  </si>
  <si>
    <t>pUmem_Sta_I2tErr(19)</t>
  </si>
  <si>
    <t>pUmem_Sta_I2tErr(20)</t>
  </si>
  <si>
    <t>pUmem_Sta_I2tErr(21)</t>
  </si>
  <si>
    <t>pUmem_Sta_I2tErr(22)</t>
  </si>
  <si>
    <t>pUmem_Sta_I2tErr(23)</t>
  </si>
  <si>
    <t>pUmem_Sta_I2tErr(24)</t>
  </si>
  <si>
    <t>pUmem_Sta_I2tErr(25)</t>
  </si>
  <si>
    <t>pUmem_Sta_I2tErr(26)</t>
  </si>
  <si>
    <t>pUmem_Sta_I2tErr(27)</t>
  </si>
  <si>
    <t>pUmem_Sta_I2tErr(28)</t>
  </si>
  <si>
    <t>pUmem_Sta_I2tErr(29)</t>
  </si>
  <si>
    <t>pUmem_Sta_I2tErr(30)</t>
  </si>
  <si>
    <t>pUmem_Sta_I2tErr(31)</t>
  </si>
  <si>
    <t>pUmem_Sta_I2tErr(32)</t>
  </si>
  <si>
    <t>pUmem_Sta_EncLoss(02)</t>
  </si>
  <si>
    <t>pUmem_Sta_EncLoss(03)</t>
  </si>
  <si>
    <t>pUmem_Sta_EncLoss(04)</t>
  </si>
  <si>
    <t>pUmem_Sta_EncLoss(05)</t>
  </si>
  <si>
    <t>pUmem_Sta_EncLoss(06)</t>
  </si>
  <si>
    <t>pUmem_Sta_EncLoss(07)</t>
  </si>
  <si>
    <t>pUmem_Sta_EncLoss(08)</t>
  </si>
  <si>
    <t>pUmem_Sta_EncLoss(09)</t>
  </si>
  <si>
    <t>pUmem_Sta_EncLoss(10)</t>
  </si>
  <si>
    <t>pUmem_Sta_EncLoss(11)</t>
  </si>
  <si>
    <t>pUmem_Sta_EncLoss(12)</t>
  </si>
  <si>
    <t>pUmem_Sta_EncLoss(13)</t>
  </si>
  <si>
    <t>pUmem_Sta_EncLoss(14)</t>
  </si>
  <si>
    <t>pUmem_Sta_EncLoss(15)</t>
  </si>
  <si>
    <t>pUmem_Sta_EncLoss(16)</t>
  </si>
  <si>
    <t>pUmem_Sta_EncLoss(17)</t>
  </si>
  <si>
    <t>pUmem_Sta_EncLoss(18)</t>
  </si>
  <si>
    <t>pUmem_Sta_EncLoss(19)</t>
  </si>
  <si>
    <t>pUmem_Sta_EncLoss(20)</t>
  </si>
  <si>
    <t>pUmem_Sta_EncLoss(21)</t>
  </si>
  <si>
    <t>pUmem_Sta_EncLoss(22)</t>
  </si>
  <si>
    <t>pUmem_Sta_EncLoss(23)</t>
  </si>
  <si>
    <t>pUmem_Sta_EncLoss(24)</t>
  </si>
  <si>
    <t>pUmem_Sta_EncLoss(25)</t>
  </si>
  <si>
    <t>pUmem_Sta_EncLoss(26)</t>
  </si>
  <si>
    <t>pUmem_Sta_EncLoss(27)</t>
  </si>
  <si>
    <t>pUmem_Sta_EncLoss(28)</t>
  </si>
  <si>
    <t>pUmem_Sta_EncLoss(29)</t>
  </si>
  <si>
    <t>pUmem_Sta_EncLoss(30)</t>
  </si>
  <si>
    <t>pUmem_Sta_EncLoss(31)</t>
  </si>
  <si>
    <t>pUmem_Sta_EncLoss(32)</t>
  </si>
  <si>
    <t>pUmem_Sta_AmpFault(02)</t>
  </si>
  <si>
    <t>pUmem_Sta_AmpFault(03)</t>
  </si>
  <si>
    <t>pUmem_Sta_AmpFault(04)</t>
  </si>
  <si>
    <t>pUmem_Sta_AmpFault(05)</t>
  </si>
  <si>
    <t>pUmem_Sta_AmpFault(06)</t>
  </si>
  <si>
    <t>pUmem_Sta_AmpFault(07)</t>
  </si>
  <si>
    <t>pUmem_Sta_AmpFault(08)</t>
  </si>
  <si>
    <t>pUmem_Sta_AmpFault(09)</t>
  </si>
  <si>
    <t>pUmem_Sta_AmpFault(10)</t>
  </si>
  <si>
    <t>pUmem_Sta_AmpFault(11)</t>
  </si>
  <si>
    <t>pUmem_Sta_AmpFault(12)</t>
  </si>
  <si>
    <t>pUmem_Sta_AmpFault(13)</t>
  </si>
  <si>
    <t>pUmem_Sta_AmpFault(14)</t>
  </si>
  <si>
    <t>pUmem_Sta_AmpFault(15)</t>
  </si>
  <si>
    <t>pUmem_Sta_AmpFault(16)</t>
  </si>
  <si>
    <t>pUmem_Sta_AmpFault(17)</t>
  </si>
  <si>
    <t>pUmem_Sta_AmpFault(18)</t>
  </si>
  <si>
    <t>pUmem_Sta_AmpFault(19)</t>
  </si>
  <si>
    <t>pUmem_Sta_AmpFault(20)</t>
  </si>
  <si>
    <t>pUmem_Sta_AmpFault(21)</t>
  </si>
  <si>
    <t>pUmem_Sta_AmpFault(22)</t>
  </si>
  <si>
    <t>pUmem_Sta_AmpFault(23)</t>
  </si>
  <si>
    <t>pUmem_Sta_AmpFault(24)</t>
  </si>
  <si>
    <t>pUmem_Sta_AmpFault(25)</t>
  </si>
  <si>
    <t>pUmem_Sta_AmpFault(26)</t>
  </si>
  <si>
    <t>pUmem_Sta_AmpFault(27)</t>
  </si>
  <si>
    <t>pUmem_Sta_AmpFault(28)</t>
  </si>
  <si>
    <t>pUmem_Sta_AmpFault(29)</t>
  </si>
  <si>
    <t>pUmem_Sta_AmpFault(30)</t>
  </si>
  <si>
    <t>pUmem_Sta_AmpFault(31)</t>
  </si>
  <si>
    <t>pUmem_Sta_AmpFault(32)</t>
  </si>
  <si>
    <t>pUmem_Sta_FollowingErr(02)</t>
  </si>
  <si>
    <t>pUmem_Sta_FollowingErr(03)</t>
  </si>
  <si>
    <t>pUmem_Sta_FollowingErr(04)</t>
  </si>
  <si>
    <t>pUmem_Sta_FollowingErr(05)</t>
  </si>
  <si>
    <t>pUmem_Sta_FollowingErr(06)</t>
  </si>
  <si>
    <t>pUmem_Sta_FollowingErr(07)</t>
  </si>
  <si>
    <t>pUmem_Sta_FollowingErr(08)</t>
  </si>
  <si>
    <t>pUmem_Sta_FollowingErr(09)</t>
  </si>
  <si>
    <t>pUmem_Sta_FollowingErr(10)</t>
  </si>
  <si>
    <t>pUmem_Sta_FollowingErr(11)</t>
  </si>
  <si>
    <t>pUmem_Sta_FollowingErr(12)</t>
  </si>
  <si>
    <t>pUmem_Sta_FollowingErr(13)</t>
  </si>
  <si>
    <t>pUmem_Sta_FollowingErr(14)</t>
  </si>
  <si>
    <t>pUmem_Sta_FollowingErr(15)</t>
  </si>
  <si>
    <t>pUmem_Sta_FollowingErr(16)</t>
  </si>
  <si>
    <t>pUmem_Sta_FollowingErr(17)</t>
  </si>
  <si>
    <t>pUmem_Sta_FollowingErr(18)</t>
  </si>
  <si>
    <t>pUmem_Sta_FollowingErr(19)</t>
  </si>
  <si>
    <t>pUmem_Sta_FollowingErr(20)</t>
  </si>
  <si>
    <t>pUmem_Sta_FollowingErr(21)</t>
  </si>
  <si>
    <t>pUmem_Sta_FollowingErr(22)</t>
  </si>
  <si>
    <t>pUmem_Sta_FollowingErr(23)</t>
  </si>
  <si>
    <t>pUmem_Sta_FollowingErr(24)</t>
  </si>
  <si>
    <t>pUmem_Sta_FollowingErr(25)</t>
  </si>
  <si>
    <t>pUmem_Sta_FollowingErr(26)</t>
  </si>
  <si>
    <t>pUmem_Sta_FollowingErr(27)</t>
  </si>
  <si>
    <t>pUmem_Sta_FollowingErr(28)</t>
  </si>
  <si>
    <t>pUmem_Sta_FollowingErr(29)</t>
  </si>
  <si>
    <t>pUmem_Sta_FollowingErr(30)</t>
  </si>
  <si>
    <t>pUmem_Sta_FollowingErr(31)</t>
  </si>
  <si>
    <t>pUmem_Sta_FollowingErr(32)</t>
  </si>
  <si>
    <t>pUmem_Sta_LimitPlus(02)</t>
  </si>
  <si>
    <t>pUmem_Sta_LimitPlus(03)</t>
  </si>
  <si>
    <t>pUmem_Sta_LimitPlus(04)</t>
  </si>
  <si>
    <t>pUmem_Sta_LimitPlus(05)</t>
  </si>
  <si>
    <t>pUmem_Sta_LimitPlus(06)</t>
  </si>
  <si>
    <t>pUmem_Sta_LimitPlus(07)</t>
  </si>
  <si>
    <t>pUmem_Sta_LimitPlus(08)</t>
  </si>
  <si>
    <t>pUmem_Sta_LimitPlus(09)</t>
  </si>
  <si>
    <t>pUmem_Sta_LimitPlus(10)</t>
  </si>
  <si>
    <t>pUmem_Sta_LimitPlus(11)</t>
  </si>
  <si>
    <t>pUmem_Sta_LimitPlus(12)</t>
  </si>
  <si>
    <t>pUmem_Sta_LimitPlus(13)</t>
  </si>
  <si>
    <t>pUmem_Sta_LimitPlus(14)</t>
  </si>
  <si>
    <t>pUmem_Sta_LimitPlus(15)</t>
  </si>
  <si>
    <t>pUmem_Sta_LimitPlus(16)</t>
  </si>
  <si>
    <t>pUmem_Sta_LimitPlus(17)</t>
  </si>
  <si>
    <t>pUmem_Sta_LimitPlus(18)</t>
  </si>
  <si>
    <t>pUmem_Sta_LimitPlus(19)</t>
  </si>
  <si>
    <t>pUmem_Sta_LimitPlus(20)</t>
  </si>
  <si>
    <t>pUmem_Sta_LimitPlus(21)</t>
  </si>
  <si>
    <t>pUmem_Sta_LimitPlus(22)</t>
  </si>
  <si>
    <t>pUmem_Sta_LimitPlus(23)</t>
  </si>
  <si>
    <t>pUmem_Sta_LimitPlus(24)</t>
  </si>
  <si>
    <t>pUmem_Sta_LimitPlus(25)</t>
  </si>
  <si>
    <t>pUmem_Sta_LimitPlus(26)</t>
  </si>
  <si>
    <t>pUmem_Sta_LimitPlus(27)</t>
  </si>
  <si>
    <t>pUmem_Sta_LimitPlus(28)</t>
  </si>
  <si>
    <t>pUmem_Sta_LimitPlus(29)</t>
  </si>
  <si>
    <t>pUmem_Sta_LimitPlus(30)</t>
  </si>
  <si>
    <t>pUmem_Sta_LimitPlus(31)</t>
  </si>
  <si>
    <t>pUmem_Sta_LimitPlus(32)</t>
  </si>
  <si>
    <t>pUmem_Sta_LimitMinus(02)</t>
  </si>
  <si>
    <t>pUmem_Sta_LimitMinus(03)</t>
  </si>
  <si>
    <t>pUmem_Sta_LimitMinus(04)</t>
  </si>
  <si>
    <t>pUmem_Sta_LimitMinus(05)</t>
  </si>
  <si>
    <t>pUmem_Sta_LimitMinus(06)</t>
  </si>
  <si>
    <t>pUmem_Sta_LimitMinus(07)</t>
  </si>
  <si>
    <t>pUmem_Sta_LimitMinus(08)</t>
  </si>
  <si>
    <t>pUmem_Sta_LimitMinus(09)</t>
  </si>
  <si>
    <t>pUmem_Sta_LimitMinus(10)</t>
  </si>
  <si>
    <t>pUmem_Sta_LimitMinus(11)</t>
  </si>
  <si>
    <t>pUmem_Sta_LimitMinus(12)</t>
  </si>
  <si>
    <t>pUmem_Sta_LimitMinus(13)</t>
  </si>
  <si>
    <t>pUmem_Sta_LimitMinus(14)</t>
  </si>
  <si>
    <t>pUmem_Sta_LimitMinus(15)</t>
  </si>
  <si>
    <t>pUmem_Sta_LimitMinus(16)</t>
  </si>
  <si>
    <t>pUmem_Sta_LimitMinus(17)</t>
  </si>
  <si>
    <t>pUmem_Sta_LimitMinus(18)</t>
  </si>
  <si>
    <t>pUmem_Sta_LimitMinus(19)</t>
  </si>
  <si>
    <t>pUmem_Sta_LimitMinus(20)</t>
  </si>
  <si>
    <t>pUmem_Sta_LimitMinus(21)</t>
  </si>
  <si>
    <t>pUmem_Sta_LimitMinus(22)</t>
  </si>
  <si>
    <t>pUmem_Sta_LimitMinus(23)</t>
  </si>
  <si>
    <t>pUmem_Sta_LimitMinus(24)</t>
  </si>
  <si>
    <t>pUmem_Sta_LimitMinus(25)</t>
  </si>
  <si>
    <t>pUmem_Sta_LimitMinus(26)</t>
  </si>
  <si>
    <t>pUmem_Sta_LimitMinus(27)</t>
  </si>
  <si>
    <t>pUmem_Sta_LimitMinus(28)</t>
  </si>
  <si>
    <t>pUmem_Sta_LimitMinus(29)</t>
  </si>
  <si>
    <t>pUmem_Sta_LimitMinus(30)</t>
  </si>
  <si>
    <t>pUmem_Sta_LimitMinus(31)</t>
  </si>
  <si>
    <t>pUmem_Sta_LimitMinus(32)</t>
  </si>
  <si>
    <t>pUmem_Sta_HomeIng(02)</t>
  </si>
  <si>
    <t>pUmem_Sta_HomeIng(03)</t>
  </si>
  <si>
    <t>pUmem_Sta_HomeIng(04)</t>
  </si>
  <si>
    <t>pUmem_Sta_HomeIng(05)</t>
  </si>
  <si>
    <t>pUmem_Sta_HomeIng(06)</t>
  </si>
  <si>
    <t>pUmem_Sta_HomeIng(07)</t>
  </si>
  <si>
    <t>pUmem_Sta_HomeIng(08)</t>
  </si>
  <si>
    <t>pUmem_Sta_HomeIng(09)</t>
  </si>
  <si>
    <t>pUmem_Sta_HomeIng(10)</t>
  </si>
  <si>
    <t>pUmem_Sta_HomeIng(11)</t>
  </si>
  <si>
    <t>pUmem_Sta_HomeIng(12)</t>
  </si>
  <si>
    <t>pUmem_Sta_HomeIng(13)</t>
  </si>
  <si>
    <t>pUmem_Sta_HomeIng(14)</t>
  </si>
  <si>
    <t>pUmem_Sta_HomeIng(15)</t>
  </si>
  <si>
    <t>pUmem_Sta_HomeIng(16)</t>
  </si>
  <si>
    <t>pUmem_Sta_HomeIng(17)</t>
  </si>
  <si>
    <t>pUmem_Sta_HomeIng(18)</t>
  </si>
  <si>
    <t>pUmem_Sta_HomeIng(19)</t>
  </si>
  <si>
    <t>pUmem_Sta_HomeIng(20)</t>
  </si>
  <si>
    <t>pUmem_Sta_HomeIng(21)</t>
  </si>
  <si>
    <t>pUmem_Sta_HomeIng(22)</t>
  </si>
  <si>
    <t>pUmem_Sta_HomeIng(23)</t>
  </si>
  <si>
    <t>pUmem_Sta_HomeIng(24)</t>
  </si>
  <si>
    <t>pUmem_Sta_HomeIng(25)</t>
  </si>
  <si>
    <t>pUmem_Sta_HomeIng(26)</t>
  </si>
  <si>
    <t>pUmem_Sta_HomeIng(27)</t>
  </si>
  <si>
    <t>pUmem_Sta_HomeIng(28)</t>
  </si>
  <si>
    <t>pUmem_Sta_HomeIng(29)</t>
  </si>
  <si>
    <t>pUmem_Sta_HomeIng(30)</t>
  </si>
  <si>
    <t>pUmem_Sta_HomeIng(31)</t>
  </si>
  <si>
    <t>pUmem_Sta_HomeIng(32)</t>
  </si>
  <si>
    <t>pUmem_Sta_HomeFin(02)</t>
  </si>
  <si>
    <t>pUmem_Sta_HomeFin(03)</t>
  </si>
  <si>
    <t>pUmem_Sta_HomeFin(04)</t>
  </si>
  <si>
    <t>pUmem_Sta_HomeFin(05)</t>
  </si>
  <si>
    <t>pUmem_Sta_HomeFin(06)</t>
  </si>
  <si>
    <t>pUmem_Sta_HomeFin(07)</t>
  </si>
  <si>
    <t>pUmem_Sta_HomeFin(08)</t>
  </si>
  <si>
    <t>pUmem_Sta_HomeFin(09)</t>
  </si>
  <si>
    <t>pUmem_Sta_HomeFin(10)</t>
  </si>
  <si>
    <t>pUmem_Sta_HomeFin(11)</t>
  </si>
  <si>
    <t>pUmem_Sta_HomeFin(12)</t>
  </si>
  <si>
    <t>pUmem_Sta_HomeFin(13)</t>
  </si>
  <si>
    <t>pUmem_Sta_HomeFin(14)</t>
  </si>
  <si>
    <t>pUmem_Sta_HomeFin(15)</t>
  </si>
  <si>
    <t>pUmem_Sta_HomeFin(16)</t>
  </si>
  <si>
    <t>pUmem_Sta_HomeFin(17)</t>
  </si>
  <si>
    <t>pUmem_Sta_HomeFin(18)</t>
  </si>
  <si>
    <t>pUmem_Sta_HomeFin(19)</t>
  </si>
  <si>
    <t>pUmem_Sta_HomeFin(20)</t>
  </si>
  <si>
    <t>pUmem_Sta_HomeFin(21)</t>
  </si>
  <si>
    <t>pUmem_Sta_HomeFin(22)</t>
  </si>
  <si>
    <t>pUmem_Sta_HomeFin(23)</t>
  </si>
  <si>
    <t>pUmem_Sta_HomeFin(24)</t>
  </si>
  <si>
    <t>pUmem_Sta_HomeFin(25)</t>
  </si>
  <si>
    <t>pUmem_Sta_HomeFin(26)</t>
  </si>
  <si>
    <t>pUmem_Sta_HomeFin(27)</t>
  </si>
  <si>
    <t>pUmem_Sta_HomeFin(28)</t>
  </si>
  <si>
    <t>pUmem_Sta_HomeFin(29)</t>
  </si>
  <si>
    <t>pUmem_Sta_HomeFin(30)</t>
  </si>
  <si>
    <t>pUmem_Sta_HomeFin(31)</t>
  </si>
  <si>
    <t>pUmem_Sta_HomeFin(32)</t>
  </si>
  <si>
    <t>pUmem_Sta_InPos(02)</t>
  </si>
  <si>
    <t>pUmem_Sta_InPos(03)</t>
  </si>
  <si>
    <t>pUmem_Sta_InPos(04)</t>
  </si>
  <si>
    <t>pUmem_Sta_InPos(05)</t>
  </si>
  <si>
    <t>pUmem_Sta_InPos(06)</t>
  </si>
  <si>
    <t>pUmem_Sta_InPos(07)</t>
  </si>
  <si>
    <t>pUmem_Sta_InPos(08)</t>
  </si>
  <si>
    <t>pUmem_Sta_InPos(09)</t>
  </si>
  <si>
    <t>pUmem_Sta_InPos(10)</t>
  </si>
  <si>
    <t>pUmem_Sta_InPos(11)</t>
  </si>
  <si>
    <t>pUmem_Sta_InPos(12)</t>
  </si>
  <si>
    <t>pUmem_Sta_InPos(13)</t>
  </si>
  <si>
    <t>pUmem_Sta_InPos(14)</t>
  </si>
  <si>
    <t>pUmem_Sta_InPos(15)</t>
  </si>
  <si>
    <t>pUmem_Sta_InPos(16)</t>
  </si>
  <si>
    <t>pUmem_Sta_InPos(17)</t>
  </si>
  <si>
    <t>pUmem_Sta_InPos(18)</t>
  </si>
  <si>
    <t>pUmem_Sta_InPos(19)</t>
  </si>
  <si>
    <t>pUmem_Sta_InPos(20)</t>
  </si>
  <si>
    <t>pUmem_Sta_InPos(21)</t>
  </si>
  <si>
    <t>pUmem_Sta_InPos(22)</t>
  </si>
  <si>
    <t>pUmem_Sta_InPos(23)</t>
  </si>
  <si>
    <t>pUmem_Sta_InPos(24)</t>
  </si>
  <si>
    <t>pUmem_Sta_InPos(25)</t>
  </si>
  <si>
    <t>pUmem_Sta_InPos(26)</t>
  </si>
  <si>
    <t>pUmem_Sta_InPos(27)</t>
  </si>
  <si>
    <t>pUmem_Sta_InPos(28)</t>
  </si>
  <si>
    <t>pUmem_Sta_InPos(29)</t>
  </si>
  <si>
    <t>pUmem_Sta_InPos(30)</t>
  </si>
  <si>
    <t>pUmem_Sta_InPos(31)</t>
  </si>
  <si>
    <t>pUmem_Sta_InPos(32)</t>
  </si>
  <si>
    <t>pUmem_Sta_CloseLoop(02)</t>
  </si>
  <si>
    <t>pUmem_Sta_CloseLoop(03)</t>
  </si>
  <si>
    <t>pUmem_Sta_CloseLoop(04)</t>
  </si>
  <si>
    <t>pUmem_Sta_CloseLoop(05)</t>
  </si>
  <si>
    <t>pUmem_Sta_CloseLoop(06)</t>
  </si>
  <si>
    <t>pUmem_Sta_CloseLoop(07)</t>
  </si>
  <si>
    <t>pUmem_Sta_CloseLoop(08)</t>
  </si>
  <si>
    <t>pUmem_Sta_CloseLoop(09)</t>
  </si>
  <si>
    <t>pUmem_Sta_CloseLoop(10)</t>
  </si>
  <si>
    <t>pUmem_Sta_CloseLoop(11)</t>
  </si>
  <si>
    <t>pUmem_Sta_CloseLoop(12)</t>
  </si>
  <si>
    <t>pUmem_Sta_CloseLoop(13)</t>
  </si>
  <si>
    <t>pUmem_Sta_CloseLoop(14)</t>
  </si>
  <si>
    <t>pUmem_Sta_CloseLoop(15)</t>
  </si>
  <si>
    <t>pUmem_Sta_CloseLoop(16)</t>
  </si>
  <si>
    <t>pUmem_Sta_CloseLoop(17)</t>
  </si>
  <si>
    <t>pUmem_Sta_CloseLoop(18)</t>
  </si>
  <si>
    <t>pUmem_Sta_CloseLoop(19)</t>
  </si>
  <si>
    <t>pUmem_Sta_CloseLoop(20)</t>
  </si>
  <si>
    <t>pUmem_Sta_CloseLoop(21)</t>
  </si>
  <si>
    <t>pUmem_Sta_CloseLoop(22)</t>
  </si>
  <si>
    <t>pUmem_Sta_CloseLoop(23)</t>
  </si>
  <si>
    <t>pUmem_Sta_CloseLoop(24)</t>
  </si>
  <si>
    <t>pUmem_Sta_CloseLoop(25)</t>
  </si>
  <si>
    <t>pUmem_Sta_CloseLoop(26)</t>
  </si>
  <si>
    <t>pUmem_Sta_CloseLoop(27)</t>
  </si>
  <si>
    <t>pUmem_Sta_CloseLoop(28)</t>
  </si>
  <si>
    <t>pUmem_Sta_CloseLoop(29)</t>
  </si>
  <si>
    <t>pUmem_Sta_CloseLoop(30)</t>
  </si>
  <si>
    <t>pUmem_Sta_CloseLoop(31)</t>
  </si>
  <si>
    <t>pUmem_Sta_CloseLoop(32)</t>
  </si>
  <si>
    <t>pUmem_Sta_AmpEna(02)</t>
  </si>
  <si>
    <t>pUmem_Sta_AmpEna(03)</t>
  </si>
  <si>
    <t>pUmem_Sta_AmpEna(04)</t>
  </si>
  <si>
    <t>pUmem_Sta_AmpEna(05)</t>
  </si>
  <si>
    <t>pUmem_Sta_AmpEna(06)</t>
  </si>
  <si>
    <t>pUmem_Sta_AmpEna(07)</t>
  </si>
  <si>
    <t>pUmem_Sta_AmpEna(08)</t>
  </si>
  <si>
    <t>pUmem_Sta_AmpEna(09)</t>
  </si>
  <si>
    <t>pUmem_Sta_AmpEna(10)</t>
  </si>
  <si>
    <t>pUmem_Sta_AmpEna(11)</t>
  </si>
  <si>
    <t>pUmem_Sta_AmpEna(12)</t>
  </si>
  <si>
    <t>pUmem_Sta_AmpEna(13)</t>
  </si>
  <si>
    <t>pUmem_Sta_AmpEna(14)</t>
  </si>
  <si>
    <t>pUmem_Sta_AmpEna(15)</t>
  </si>
  <si>
    <t>pUmem_Sta_AmpEna(16)</t>
  </si>
  <si>
    <t>pUmem_Sta_AmpEna(17)</t>
  </si>
  <si>
    <t>pUmem_Sta_AmpEna(18)</t>
  </si>
  <si>
    <t>pUmem_Sta_AmpEna(19)</t>
  </si>
  <si>
    <t>pUmem_Sta_AmpEna(20)</t>
  </si>
  <si>
    <t>pUmem_Sta_AmpEna(21)</t>
  </si>
  <si>
    <t>pUmem_Sta_AmpEna(22)</t>
  </si>
  <si>
    <t>pUmem_Sta_AmpEna(23)</t>
  </si>
  <si>
    <t>pUmem_Sta_AmpEna(24)</t>
  </si>
  <si>
    <t>pUmem_Sta_AmpEna(25)</t>
  </si>
  <si>
    <t>pUmem_Sta_AmpEna(26)</t>
  </si>
  <si>
    <t>pUmem_Sta_AmpEna(27)</t>
  </si>
  <si>
    <t>pUmem_Sta_AmpEna(28)</t>
  </si>
  <si>
    <t>pUmem_Sta_AmpEna(29)</t>
  </si>
  <si>
    <t>pUmem_Sta_AmpEna(30)</t>
  </si>
  <si>
    <t>pUmem_Sta_AmpEna(31)</t>
  </si>
  <si>
    <t>pUmem_Sta_AmpEna(32)</t>
  </si>
  <si>
    <t>pUmem_Sta_Load(02)</t>
  </si>
  <si>
    <t>pUmem_Sta_Load(03)</t>
  </si>
  <si>
    <t>pUmem_Sta_Load(04)</t>
  </si>
  <si>
    <t>pUmem_Sta_Load(05)</t>
  </si>
  <si>
    <t>pUmem_Sta_Load(06)</t>
  </si>
  <si>
    <t>pUmem_Sta_Load(07)</t>
  </si>
  <si>
    <t>pUmem_Sta_Load(08)</t>
  </si>
  <si>
    <t>pUmem_Sta_Load(09)</t>
  </si>
  <si>
    <t>pUmem_Sta_Load(10)</t>
  </si>
  <si>
    <t>pUmem_Sta_Load(11)</t>
  </si>
  <si>
    <t>pUmem_Sta_Load(12)</t>
  </si>
  <si>
    <t>pUmem_Sta_Load(13)</t>
  </si>
  <si>
    <t>pUmem_Sta_Load(14)</t>
  </si>
  <si>
    <t>pUmem_Sta_Load(15)</t>
  </si>
  <si>
    <t>pUmem_Sta_Load(16)</t>
  </si>
  <si>
    <t>pUmem_Sta_Load(17)</t>
  </si>
  <si>
    <t>pUmem_Sta_Load(18)</t>
  </si>
  <si>
    <t>pUmem_Sta_Load(19)</t>
  </si>
  <si>
    <t>pUmem_Sta_Load(20)</t>
  </si>
  <si>
    <t>pUmem_Sta_Load(21)</t>
  </si>
  <si>
    <t>pUmem_Sta_Load(22)</t>
  </si>
  <si>
    <t>pUmem_Sta_Load(23)</t>
  </si>
  <si>
    <t>pUmem_Sta_Load(24)</t>
  </si>
  <si>
    <t>pUmem_Sta_Load(25)</t>
  </si>
  <si>
    <t>pUmem_Sta_Load(26)</t>
  </si>
  <si>
    <t>pUmem_Sta_Load(27)</t>
  </si>
  <si>
    <t>pUmem_Sta_Load(28)</t>
  </si>
  <si>
    <t>pUmem_Sta_Load(29)</t>
  </si>
  <si>
    <t>pUmem_Sta_Load(30)</t>
  </si>
  <si>
    <t>pUmem_Sta_Load(31)</t>
  </si>
  <si>
    <t>pUmem_Sta_Load(32)</t>
  </si>
  <si>
    <t>pUmem_Sta_Velocity(02)</t>
  </si>
  <si>
    <t>pUmem_Sta_Velocity(03)</t>
  </si>
  <si>
    <t>pUmem_Sta_Velocity(04)</t>
  </si>
  <si>
    <t>pUmem_Sta_Velocity(05)</t>
  </si>
  <si>
    <t>pUmem_Sta_Velocity(06)</t>
  </si>
  <si>
    <t>pUmem_Sta_Velocity(07)</t>
  </si>
  <si>
    <t>pUmem_Sta_Velocity(08)</t>
  </si>
  <si>
    <t>pUmem_Sta_Velocity(09)</t>
  </si>
  <si>
    <t>pUmem_Sta_Velocity(10)</t>
  </si>
  <si>
    <t>pUmem_Sta_Velocity(11)</t>
  </si>
  <si>
    <t>pUmem_Sta_Velocity(12)</t>
  </si>
  <si>
    <t>pUmem_Sta_Velocity(13)</t>
  </si>
  <si>
    <t>pUmem_Sta_Velocity(14)</t>
  </si>
  <si>
    <t>pUmem_Sta_Velocity(15)</t>
  </si>
  <si>
    <t>pUmem_Sta_Velocity(16)</t>
  </si>
  <si>
    <t>pUmem_Sta_Velocity(17)</t>
  </si>
  <si>
    <t>pUmem_Sta_Velocity(18)</t>
  </si>
  <si>
    <t>pUmem_Sta_Velocity(19)</t>
  </si>
  <si>
    <t>pUmem_Sta_Velocity(20)</t>
  </si>
  <si>
    <t>pUmem_Sta_Velocity(21)</t>
  </si>
  <si>
    <t>pUmem_Sta_Velocity(22)</t>
  </si>
  <si>
    <t>pUmem_Sta_Velocity(23)</t>
  </si>
  <si>
    <t>pUmem_Sta_Velocity(24)</t>
  </si>
  <si>
    <t>pUmem_Sta_Velocity(25)</t>
  </si>
  <si>
    <t>pUmem_Sta_Velocity(26)</t>
  </si>
  <si>
    <t>pUmem_Sta_Velocity(27)</t>
  </si>
  <si>
    <t>pUmem_Sta_Velocity(28)</t>
  </si>
  <si>
    <t>pUmem_Sta_Velocity(29)</t>
  </si>
  <si>
    <t>pUmem_Sta_Velocity(30)</t>
  </si>
  <si>
    <t>pUmem_Sta_Velocity(31)</t>
  </si>
  <si>
    <t>pUmem_Sta_Velocity(32)</t>
  </si>
  <si>
    <t>pUmem_Sta_ActPos(02)</t>
  </si>
  <si>
    <t>pUmem_Sta_ActPos(03)</t>
  </si>
  <si>
    <t>pUmem_Sta_ActPos(04)</t>
  </si>
  <si>
    <t>pUmem_Sta_ActPos(05)</t>
  </si>
  <si>
    <t>pUmem_Sta_ActPos(06)</t>
  </si>
  <si>
    <t>pUmem_Sta_ActPos(07)</t>
  </si>
  <si>
    <t>pUmem_Sta_ActPos(08)</t>
  </si>
  <si>
    <t>pUmem_Sta_ActPos(09)</t>
  </si>
  <si>
    <t>pUmem_Sta_ActPos(10)</t>
  </si>
  <si>
    <t>pUmem_Sta_ActPos(11)</t>
  </si>
  <si>
    <t>pUmem_Sta_ActPos(12)</t>
  </si>
  <si>
    <t>pUmem_Sta_ActPos(13)</t>
  </si>
  <si>
    <t>pUmem_Sta_ActPos(14)</t>
  </si>
  <si>
    <t>pUmem_Sta_ActPos(15)</t>
  </si>
  <si>
    <t>pUmem_Sta_ActPos(16)</t>
  </si>
  <si>
    <t>pUmem_Sta_ActPos(17)</t>
  </si>
  <si>
    <t>pUmem_Sta_ActPos(18)</t>
  </si>
  <si>
    <t>pUmem_Sta_ActPos(19)</t>
  </si>
  <si>
    <t>pUmem_Sta_ActPos(20)</t>
  </si>
  <si>
    <t>pUmem_Sta_ActPos(21)</t>
  </si>
  <si>
    <t>pUmem_Sta_ActPos(22)</t>
  </si>
  <si>
    <t>pUmem_Sta_ActPos(23)</t>
  </si>
  <si>
    <t>pUmem_Sta_ActPos(24)</t>
  </si>
  <si>
    <t>pUmem_Sta_ActPos(25)</t>
  </si>
  <si>
    <t>pUmem_Sta_ActPos(26)</t>
  </si>
  <si>
    <t>pUmem_Sta_ActPos(27)</t>
  </si>
  <si>
    <t>pUmem_Sta_ActPos(28)</t>
  </si>
  <si>
    <t>pUmem_Sta_ActPos(29)</t>
  </si>
  <si>
    <t>pUmem_Sta_ActPos(30)</t>
  </si>
  <si>
    <t>pUmem_Sta_ActPos(31)</t>
  </si>
  <si>
    <t>pUmem_Sta_ActPos(32)</t>
  </si>
  <si>
    <t>pUmem_Cmd_ServoOn(01)</t>
  </si>
  <si>
    <t>pUmem_Cmd_ServoOff(01)</t>
  </si>
  <si>
    <t>pUmem_Cmd_HomeStart(01)</t>
  </si>
  <si>
    <t>pUmem_Cmd_HomeStop(01)</t>
  </si>
  <si>
    <t>pUmem_Cmd_HomeOffset(01)</t>
  </si>
  <si>
    <t>pUmem_Cmd_JogStop(01)</t>
  </si>
  <si>
    <t>pUmem_Cmd_JogContPlus(01)</t>
  </si>
  <si>
    <t>pUmem_Cmd_JogContMinus(01)</t>
  </si>
  <si>
    <t>pUmem_Cmd_JogAbsMove(01)</t>
  </si>
  <si>
    <t>pUmem_Cmd_JogIncMove(01)</t>
  </si>
  <si>
    <t>pUmem_Cmd_JogAbsPos(01)</t>
  </si>
  <si>
    <t>pUmem_Cmd_JogIncDist(01)</t>
  </si>
  <si>
    <t>pUmem_Cmd_JogSpeed(01)</t>
  </si>
  <si>
    <t>pUmem_Cmd_JogTa(01)</t>
  </si>
  <si>
    <t>pUmem_Cmd_JogTs(01)</t>
  </si>
  <si>
    <t>pUmem_Cmd_JogTs(02)</t>
  </si>
  <si>
    <t>pUmem_Cmd_JogTs(03)</t>
  </si>
  <si>
    <t>pUmem_Cmd_JogTs(04)</t>
  </si>
  <si>
    <t>pUmem_Cmd_JogTs(05)</t>
  </si>
  <si>
    <t>pUmem_Cmd_JogTs(06)</t>
  </si>
  <si>
    <t>pUmem_Cmd_JogTs(07)</t>
  </si>
  <si>
    <t>pUmem_Cmd_JogTs(08)</t>
  </si>
  <si>
    <t>pUmem_Cmd_JogTs(09)</t>
  </si>
  <si>
    <t>pUmem_Cmd_JogTs(10)</t>
  </si>
  <si>
    <t>pUmem_Cmd_JogTs(11)</t>
  </si>
  <si>
    <t>pUmem_Cmd_JogTs(12)</t>
  </si>
  <si>
    <t>pUmem_Cmd_JogTs(13)</t>
  </si>
  <si>
    <t>pUmem_Cmd_JogTs(14)</t>
  </si>
  <si>
    <t>pUmem_Cmd_JogTs(15)</t>
  </si>
  <si>
    <t>pUmem_Cmd_JogTs(16)</t>
  </si>
  <si>
    <t>pUmem_Cmd_JogTs(17)</t>
  </si>
  <si>
    <t>pUmem_Cmd_JogTs(18)</t>
  </si>
  <si>
    <t>pUmem_Cmd_JogTs(19)</t>
  </si>
  <si>
    <t>pUmem_Cmd_JogTs(20)</t>
  </si>
  <si>
    <t>pUmem_Cmd_JogTs(21)</t>
  </si>
  <si>
    <t>pUmem_Cmd_JogTs(22)</t>
  </si>
  <si>
    <t>pUmem_Cmd_JogTs(23)</t>
  </si>
  <si>
    <t>pUmem_Cmd_JogTs(24)</t>
  </si>
  <si>
    <t>pUmem_Cmd_JogTs(25)</t>
  </si>
  <si>
    <t>pUmem_Cmd_JogTs(26)</t>
  </si>
  <si>
    <t>pUmem_Cmd_JogTs(27)</t>
  </si>
  <si>
    <t>pUmem_Cmd_JogTs(28)</t>
  </si>
  <si>
    <t>pUmem_Cmd_JogTs(29)</t>
  </si>
  <si>
    <t>pUmem_Cmd_JogTs(30)</t>
  </si>
  <si>
    <t>pUmem_Cmd_JogTs(31)</t>
  </si>
  <si>
    <t>pUmem_Cmd_JogTs(32)</t>
  </si>
  <si>
    <t>pUmem_Cmd_JogTa(02)</t>
  </si>
  <si>
    <t>pUmem_Cmd_JogTa(03)</t>
  </si>
  <si>
    <t>pUmem_Cmd_JogTa(04)</t>
  </si>
  <si>
    <t>pUmem_Cmd_JogTa(05)</t>
  </si>
  <si>
    <t>pUmem_Cmd_JogTa(06)</t>
  </si>
  <si>
    <t>pUmem_Cmd_JogTa(07)</t>
  </si>
  <si>
    <t>pUmem_Cmd_JogTa(08)</t>
  </si>
  <si>
    <t>pUmem_Cmd_JogTa(09)</t>
  </si>
  <si>
    <t>pUmem_Cmd_JogTa(10)</t>
  </si>
  <si>
    <t>pUmem_Cmd_JogTa(11)</t>
  </si>
  <si>
    <t>pUmem_Cmd_JogTa(12)</t>
  </si>
  <si>
    <t>pUmem_Cmd_JogTa(13)</t>
  </si>
  <si>
    <t>pUmem_Cmd_JogTa(14)</t>
  </si>
  <si>
    <t>pUmem_Cmd_JogTa(15)</t>
  </si>
  <si>
    <t>pUmem_Cmd_JogTa(16)</t>
  </si>
  <si>
    <t>pUmem_Cmd_JogTa(17)</t>
  </si>
  <si>
    <t>pUmem_Cmd_JogTa(18)</t>
  </si>
  <si>
    <t>pUmem_Cmd_JogTa(19)</t>
  </si>
  <si>
    <t>pUmem_Cmd_JogTa(20)</t>
  </si>
  <si>
    <t>pUmem_Cmd_JogTa(21)</t>
  </si>
  <si>
    <t>pUmem_Cmd_JogTa(22)</t>
  </si>
  <si>
    <t>pUmem_Cmd_JogTa(23)</t>
  </si>
  <si>
    <t>pUmem_Cmd_JogTa(24)</t>
  </si>
  <si>
    <t>pUmem_Cmd_JogTa(25)</t>
  </si>
  <si>
    <t>pUmem_Cmd_JogTa(26)</t>
  </si>
  <si>
    <t>pUmem_Cmd_JogTa(27)</t>
  </si>
  <si>
    <t>pUmem_Cmd_JogTa(28)</t>
  </si>
  <si>
    <t>pUmem_Cmd_JogTa(29)</t>
  </si>
  <si>
    <t>pUmem_Cmd_JogTa(30)</t>
  </si>
  <si>
    <t>pUmem_Cmd_JogTa(31)</t>
  </si>
  <si>
    <t>pUmem_Cmd_JogTa(32)</t>
  </si>
  <si>
    <t>pUmem_Cmd_JogSpeed(02)</t>
  </si>
  <si>
    <t>pUmem_Cmd_JogSpeed(03)</t>
  </si>
  <si>
    <t>pUmem_Cmd_JogSpeed(04)</t>
  </si>
  <si>
    <t>pUmem_Cmd_JogSpeed(05)</t>
  </si>
  <si>
    <t>pUmem_Cmd_JogSpeed(06)</t>
  </si>
  <si>
    <t>pUmem_Cmd_JogSpeed(07)</t>
  </si>
  <si>
    <t>pUmem_Cmd_JogSpeed(08)</t>
  </si>
  <si>
    <t>pUmem_Cmd_JogSpeed(09)</t>
  </si>
  <si>
    <t>pUmem_Cmd_JogSpeed(10)</t>
  </si>
  <si>
    <t>pUmem_Cmd_JogSpeed(11)</t>
  </si>
  <si>
    <t>pUmem_Cmd_JogSpeed(12)</t>
  </si>
  <si>
    <t>pUmem_Cmd_JogSpeed(13)</t>
  </si>
  <si>
    <t>pUmem_Cmd_JogSpeed(14)</t>
  </si>
  <si>
    <t>pUmem_Cmd_JogSpeed(15)</t>
  </si>
  <si>
    <t>pUmem_Cmd_JogSpeed(16)</t>
  </si>
  <si>
    <t>pUmem_Cmd_JogSpeed(17)</t>
  </si>
  <si>
    <t>pUmem_Cmd_JogSpeed(18)</t>
  </si>
  <si>
    <t>pUmem_Cmd_JogSpeed(19)</t>
  </si>
  <si>
    <t>pUmem_Cmd_JogSpeed(20)</t>
  </si>
  <si>
    <t>pUmem_Cmd_JogSpeed(21)</t>
  </si>
  <si>
    <t>pUmem_Cmd_JogSpeed(22)</t>
  </si>
  <si>
    <t>pUmem_Cmd_JogSpeed(23)</t>
  </si>
  <si>
    <t>pUmem_Cmd_JogSpeed(24)</t>
  </si>
  <si>
    <t>pUmem_Cmd_JogSpeed(25)</t>
  </si>
  <si>
    <t>pUmem_Cmd_JogSpeed(26)</t>
  </si>
  <si>
    <t>pUmem_Cmd_JogSpeed(27)</t>
  </si>
  <si>
    <t>pUmem_Cmd_JogSpeed(28)</t>
  </si>
  <si>
    <t>pUmem_Cmd_JogSpeed(29)</t>
  </si>
  <si>
    <t>pUmem_Cmd_JogSpeed(30)</t>
  </si>
  <si>
    <t>pUmem_Cmd_JogSpeed(31)</t>
  </si>
  <si>
    <t>pUmem_Cmd_JogSpeed(32)</t>
  </si>
  <si>
    <t>pUmem_Cmd_JogIncDist(02)</t>
  </si>
  <si>
    <t>pUmem_Cmd_JogIncDist(03)</t>
  </si>
  <si>
    <t>pUmem_Cmd_JogIncDist(04)</t>
  </si>
  <si>
    <t>pUmem_Cmd_JogIncDist(05)</t>
  </si>
  <si>
    <t>pUmem_Cmd_JogIncDist(06)</t>
  </si>
  <si>
    <t>pUmem_Cmd_JogIncDist(07)</t>
  </si>
  <si>
    <t>pUmem_Cmd_JogIncDist(08)</t>
  </si>
  <si>
    <t>pUmem_Cmd_JogIncDist(09)</t>
  </si>
  <si>
    <t>pUmem_Cmd_JogIncDist(10)</t>
  </si>
  <si>
    <t>pUmem_Cmd_JogIncDist(11)</t>
  </si>
  <si>
    <t>pUmem_Cmd_JogIncDist(12)</t>
  </si>
  <si>
    <t>pUmem_Cmd_JogIncDist(13)</t>
  </si>
  <si>
    <t>pUmem_Cmd_JogIncDist(14)</t>
  </si>
  <si>
    <t>pUmem_Cmd_JogIncDist(15)</t>
  </si>
  <si>
    <t>pUmem_Cmd_JogIncDist(16)</t>
  </si>
  <si>
    <t>pUmem_Cmd_JogIncDist(17)</t>
  </si>
  <si>
    <t>pUmem_Cmd_JogIncDist(18)</t>
  </si>
  <si>
    <t>pUmem_Cmd_JogIncDist(19)</t>
  </si>
  <si>
    <t>pUmem_Cmd_JogIncDist(20)</t>
  </si>
  <si>
    <t>pUmem_Cmd_JogIncDist(21)</t>
  </si>
  <si>
    <t>pUmem_Cmd_JogIncDist(22)</t>
  </si>
  <si>
    <t>pUmem_Cmd_JogIncDist(23)</t>
  </si>
  <si>
    <t>pUmem_Cmd_JogIncDist(24)</t>
  </si>
  <si>
    <t>pUmem_Cmd_JogIncDist(25)</t>
  </si>
  <si>
    <t>pUmem_Cmd_JogIncDist(26)</t>
  </si>
  <si>
    <t>pUmem_Cmd_JogIncDist(27)</t>
  </si>
  <si>
    <t>pUmem_Cmd_JogIncDist(28)</t>
  </si>
  <si>
    <t>pUmem_Cmd_JogIncDist(29)</t>
  </si>
  <si>
    <t>pUmem_Cmd_JogIncDist(30)</t>
  </si>
  <si>
    <t>pUmem_Cmd_JogIncDist(31)</t>
  </si>
  <si>
    <t>pUmem_Cmd_JogIncDist(32)</t>
  </si>
  <si>
    <t>pUmem_Cmd_JogAbsPos(02)</t>
  </si>
  <si>
    <t>pUmem_Cmd_JogAbsPos(03)</t>
  </si>
  <si>
    <t>pUmem_Cmd_JogAbsPos(04)</t>
  </si>
  <si>
    <t>pUmem_Cmd_JogAbsPos(05)</t>
  </si>
  <si>
    <t>pUmem_Cmd_JogAbsPos(06)</t>
  </si>
  <si>
    <t>pUmem_Cmd_JogAbsPos(07)</t>
  </si>
  <si>
    <t>pUmem_Cmd_JogAbsPos(08)</t>
  </si>
  <si>
    <t>pUmem_Cmd_JogAbsPos(09)</t>
  </si>
  <si>
    <t>pUmem_Cmd_JogAbsPos(10)</t>
  </si>
  <si>
    <t>pUmem_Cmd_JogAbsPos(11)</t>
  </si>
  <si>
    <t>pUmem_Cmd_JogAbsPos(12)</t>
  </si>
  <si>
    <t>pUmem_Cmd_JogAbsPos(13)</t>
  </si>
  <si>
    <t>pUmem_Cmd_JogAbsPos(14)</t>
  </si>
  <si>
    <t>pUmem_Cmd_JogAbsPos(15)</t>
  </si>
  <si>
    <t>pUmem_Cmd_JogAbsPos(16)</t>
  </si>
  <si>
    <t>pUmem_Cmd_JogAbsPos(17)</t>
  </si>
  <si>
    <t>pUmem_Cmd_JogAbsPos(18)</t>
  </si>
  <si>
    <t>pUmem_Cmd_JogAbsPos(19)</t>
  </si>
  <si>
    <t>pUmem_Cmd_JogAbsPos(20)</t>
  </si>
  <si>
    <t>pUmem_Cmd_JogAbsPos(21)</t>
  </si>
  <si>
    <t>pUmem_Cmd_JogAbsPos(22)</t>
  </si>
  <si>
    <t>pUmem_Cmd_JogAbsPos(23)</t>
  </si>
  <si>
    <t>pUmem_Cmd_JogAbsPos(24)</t>
  </si>
  <si>
    <t>pUmem_Cmd_JogAbsPos(25)</t>
  </si>
  <si>
    <t>pUmem_Cmd_JogAbsPos(26)</t>
  </si>
  <si>
    <t>pUmem_Cmd_JogAbsPos(27)</t>
  </si>
  <si>
    <t>pUmem_Cmd_JogAbsPos(28)</t>
  </si>
  <si>
    <t>pUmem_Cmd_JogAbsPos(29)</t>
  </si>
  <si>
    <t>pUmem_Cmd_JogAbsPos(30)</t>
  </si>
  <si>
    <t>pUmem_Cmd_JogAbsPos(31)</t>
  </si>
  <si>
    <t>pUmem_Cmd_JogAbsPos(32)</t>
  </si>
  <si>
    <t>pUmem_Cmd_JogIncMove(02)</t>
  </si>
  <si>
    <t>pUmem_Cmd_JogIncMove(03)</t>
  </si>
  <si>
    <t>pUmem_Cmd_JogIncMove(04)</t>
  </si>
  <si>
    <t>pUmem_Cmd_JogIncMove(05)</t>
  </si>
  <si>
    <t>pUmem_Cmd_JogIncMove(06)</t>
  </si>
  <si>
    <t>pUmem_Cmd_JogIncMove(07)</t>
  </si>
  <si>
    <t>pUmem_Cmd_JogIncMove(08)</t>
  </si>
  <si>
    <t>pUmem_Cmd_JogIncMove(09)</t>
  </si>
  <si>
    <t>pUmem_Cmd_JogIncMove(10)</t>
  </si>
  <si>
    <t>pUmem_Cmd_JogIncMove(11)</t>
  </si>
  <si>
    <t>pUmem_Cmd_JogIncMove(12)</t>
  </si>
  <si>
    <t>pUmem_Cmd_JogIncMove(13)</t>
  </si>
  <si>
    <t>pUmem_Cmd_JogIncMove(14)</t>
  </si>
  <si>
    <t>pUmem_Cmd_JogIncMove(15)</t>
  </si>
  <si>
    <t>pUmem_Cmd_JogIncMove(16)</t>
  </si>
  <si>
    <t>pUmem_Cmd_JogIncMove(17)</t>
  </si>
  <si>
    <t>pUmem_Cmd_JogIncMove(18)</t>
  </si>
  <si>
    <t>pUmem_Cmd_JogIncMove(19)</t>
  </si>
  <si>
    <t>pUmem_Cmd_JogIncMove(20)</t>
  </si>
  <si>
    <t>pUmem_Cmd_JogIncMove(21)</t>
  </si>
  <si>
    <t>pUmem_Cmd_JogIncMove(22)</t>
  </si>
  <si>
    <t>pUmem_Cmd_JogIncMove(23)</t>
  </si>
  <si>
    <t>pUmem_Cmd_JogIncMove(24)</t>
  </si>
  <si>
    <t>pUmem_Cmd_JogIncMove(25)</t>
  </si>
  <si>
    <t>pUmem_Cmd_JogIncMove(26)</t>
  </si>
  <si>
    <t>pUmem_Cmd_JogIncMove(27)</t>
  </si>
  <si>
    <t>pUmem_Cmd_JogIncMove(28)</t>
  </si>
  <si>
    <t>pUmem_Cmd_JogIncMove(29)</t>
  </si>
  <si>
    <t>pUmem_Cmd_JogIncMove(30)</t>
  </si>
  <si>
    <t>pUmem_Cmd_JogIncMove(31)</t>
  </si>
  <si>
    <t>pUmem_Cmd_JogIncMove(32)</t>
  </si>
  <si>
    <t>pUmem_Cmd_JogAbsMove(02)</t>
  </si>
  <si>
    <t>pUmem_Cmd_JogAbsMove(03)</t>
  </si>
  <si>
    <t>pUmem_Cmd_JogAbsMove(04)</t>
  </si>
  <si>
    <t>pUmem_Cmd_JogAbsMove(05)</t>
  </si>
  <si>
    <t>pUmem_Cmd_JogAbsMove(06)</t>
  </si>
  <si>
    <t>pUmem_Cmd_JogAbsMove(07)</t>
  </si>
  <si>
    <t>pUmem_Cmd_JogAbsMove(08)</t>
  </si>
  <si>
    <t>pUmem_Cmd_JogAbsMove(09)</t>
  </si>
  <si>
    <t>pUmem_Cmd_JogAbsMove(10)</t>
  </si>
  <si>
    <t>pUmem_Cmd_JogAbsMove(11)</t>
  </si>
  <si>
    <t>pUmem_Cmd_JogAbsMove(12)</t>
  </si>
  <si>
    <t>pUmem_Cmd_JogAbsMove(13)</t>
  </si>
  <si>
    <t>pUmem_Cmd_JogAbsMove(14)</t>
  </si>
  <si>
    <t>pUmem_Cmd_JogAbsMove(15)</t>
  </si>
  <si>
    <t>pUmem_Cmd_JogAbsMove(16)</t>
  </si>
  <si>
    <t>pUmem_Cmd_JogAbsMove(17)</t>
  </si>
  <si>
    <t>pUmem_Cmd_JogAbsMove(18)</t>
  </si>
  <si>
    <t>pUmem_Cmd_JogAbsMove(19)</t>
  </si>
  <si>
    <t>pUmem_Cmd_JogAbsMove(20)</t>
  </si>
  <si>
    <t>pUmem_Cmd_JogAbsMove(21)</t>
  </si>
  <si>
    <t>pUmem_Cmd_JogAbsMove(22)</t>
  </si>
  <si>
    <t>pUmem_Cmd_JogAbsMove(23)</t>
  </si>
  <si>
    <t>pUmem_Cmd_JogAbsMove(24)</t>
  </si>
  <si>
    <t>pUmem_Cmd_JogAbsMove(25)</t>
  </si>
  <si>
    <t>pUmem_Cmd_JogAbsMove(26)</t>
  </si>
  <si>
    <t>pUmem_Cmd_JogAbsMove(27)</t>
  </si>
  <si>
    <t>pUmem_Cmd_JogAbsMove(28)</t>
  </si>
  <si>
    <t>pUmem_Cmd_JogAbsMove(29)</t>
  </si>
  <si>
    <t>pUmem_Cmd_JogAbsMove(30)</t>
  </si>
  <si>
    <t>pUmem_Cmd_JogAbsMove(31)</t>
  </si>
  <si>
    <t>pUmem_Cmd_JogAbsMove(32)</t>
  </si>
  <si>
    <t>pUmem_Cmd_JogContMinus(02)</t>
  </si>
  <si>
    <t>pUmem_Cmd_JogContMinus(03)</t>
  </si>
  <si>
    <t>pUmem_Cmd_JogContMinus(04)</t>
  </si>
  <si>
    <t>pUmem_Cmd_JogContMinus(05)</t>
  </si>
  <si>
    <t>pUmem_Cmd_JogContMinus(06)</t>
  </si>
  <si>
    <t>pUmem_Cmd_JogContMinus(07)</t>
  </si>
  <si>
    <t>pUmem_Cmd_JogContMinus(08)</t>
  </si>
  <si>
    <t>pUmem_Cmd_JogContMinus(09)</t>
  </si>
  <si>
    <t>pUmem_Cmd_JogContMinus(10)</t>
  </si>
  <si>
    <t>pUmem_Cmd_JogContMinus(11)</t>
  </si>
  <si>
    <t>pUmem_Cmd_JogContMinus(12)</t>
  </si>
  <si>
    <t>pUmem_Cmd_JogContMinus(13)</t>
  </si>
  <si>
    <t>pUmem_Cmd_JogContMinus(14)</t>
  </si>
  <si>
    <t>pUmem_Cmd_JogContMinus(15)</t>
  </si>
  <si>
    <t>pUmem_Cmd_JogContMinus(16)</t>
  </si>
  <si>
    <t>pUmem_Cmd_JogContMinus(17)</t>
  </si>
  <si>
    <t>pUmem_Cmd_JogContMinus(18)</t>
  </si>
  <si>
    <t>pUmem_Cmd_JogContMinus(19)</t>
  </si>
  <si>
    <t>pUmem_Cmd_JogContMinus(20)</t>
  </si>
  <si>
    <t>pUmem_Cmd_JogContMinus(21)</t>
  </si>
  <si>
    <t>pUmem_Cmd_JogContMinus(22)</t>
  </si>
  <si>
    <t>pUmem_Cmd_JogContMinus(23)</t>
  </si>
  <si>
    <t>pUmem_Cmd_JogContMinus(24)</t>
  </si>
  <si>
    <t>pUmem_Cmd_JogContMinus(25)</t>
  </si>
  <si>
    <t>pUmem_Cmd_JogContMinus(26)</t>
  </si>
  <si>
    <t>pUmem_Cmd_JogContMinus(27)</t>
  </si>
  <si>
    <t>pUmem_Cmd_JogContMinus(28)</t>
  </si>
  <si>
    <t>pUmem_Cmd_JogContMinus(29)</t>
  </si>
  <si>
    <t>pUmem_Cmd_JogContMinus(30)</t>
  </si>
  <si>
    <t>pUmem_Cmd_JogContMinus(31)</t>
  </si>
  <si>
    <t>pUmem_Cmd_JogContMinus(32)</t>
  </si>
  <si>
    <t>pUmem_Cmd_JogContPlus(02)</t>
  </si>
  <si>
    <t>pUmem_Cmd_JogContPlus(03)</t>
  </si>
  <si>
    <t>pUmem_Cmd_JogContPlus(04)</t>
  </si>
  <si>
    <t>pUmem_Cmd_JogContPlus(05)</t>
  </si>
  <si>
    <t>pUmem_Cmd_JogContPlus(06)</t>
  </si>
  <si>
    <t>pUmem_Cmd_JogContPlus(07)</t>
  </si>
  <si>
    <t>pUmem_Cmd_JogContPlus(08)</t>
  </si>
  <si>
    <t>pUmem_Cmd_JogContPlus(09)</t>
  </si>
  <si>
    <t>pUmem_Cmd_JogContPlus(10)</t>
  </si>
  <si>
    <t>pUmem_Cmd_JogContPlus(11)</t>
  </si>
  <si>
    <t>pUmem_Cmd_JogContPlus(12)</t>
  </si>
  <si>
    <t>pUmem_Cmd_JogContPlus(13)</t>
  </si>
  <si>
    <t>pUmem_Cmd_JogContPlus(14)</t>
  </si>
  <si>
    <t>pUmem_Cmd_JogContPlus(15)</t>
  </si>
  <si>
    <t>pUmem_Cmd_JogContPlus(16)</t>
  </si>
  <si>
    <t>pUmem_Cmd_JogContPlus(17)</t>
  </si>
  <si>
    <t>pUmem_Cmd_JogContPlus(18)</t>
  </si>
  <si>
    <t>pUmem_Cmd_JogContPlus(19)</t>
  </si>
  <si>
    <t>pUmem_Cmd_JogContPlus(20)</t>
  </si>
  <si>
    <t>pUmem_Cmd_JogContPlus(21)</t>
  </si>
  <si>
    <t>pUmem_Cmd_JogContPlus(22)</t>
  </si>
  <si>
    <t>pUmem_Cmd_JogContPlus(23)</t>
  </si>
  <si>
    <t>pUmem_Cmd_JogContPlus(24)</t>
  </si>
  <si>
    <t>pUmem_Cmd_JogContPlus(25)</t>
  </si>
  <si>
    <t>pUmem_Cmd_JogContPlus(26)</t>
  </si>
  <si>
    <t>pUmem_Cmd_JogContPlus(27)</t>
  </si>
  <si>
    <t>pUmem_Cmd_JogContPlus(28)</t>
  </si>
  <si>
    <t>pUmem_Cmd_JogContPlus(29)</t>
  </si>
  <si>
    <t>pUmem_Cmd_JogContPlus(30)</t>
  </si>
  <si>
    <t>pUmem_Cmd_JogContPlus(31)</t>
  </si>
  <si>
    <t>pUmem_Cmd_JogContPlus(32)</t>
  </si>
  <si>
    <t>pUmem_Cmd_JogStop(02)</t>
  </si>
  <si>
    <t>pUmem_Cmd_JogStop(03)</t>
  </si>
  <si>
    <t>pUmem_Cmd_JogStop(04)</t>
  </si>
  <si>
    <t>pUmem_Cmd_JogStop(05)</t>
  </si>
  <si>
    <t>pUmem_Cmd_JogStop(06)</t>
  </si>
  <si>
    <t>pUmem_Cmd_JogStop(07)</t>
  </si>
  <si>
    <t>pUmem_Cmd_JogStop(08)</t>
  </si>
  <si>
    <t>pUmem_Cmd_JogStop(09)</t>
  </si>
  <si>
    <t>pUmem_Cmd_JogStop(10)</t>
  </si>
  <si>
    <t>pUmem_Cmd_JogStop(11)</t>
  </si>
  <si>
    <t>pUmem_Cmd_JogStop(12)</t>
  </si>
  <si>
    <t>pUmem_Cmd_JogStop(13)</t>
  </si>
  <si>
    <t>pUmem_Cmd_JogStop(14)</t>
  </si>
  <si>
    <t>pUmem_Cmd_JogStop(15)</t>
  </si>
  <si>
    <t>pUmem_Cmd_JogStop(16)</t>
  </si>
  <si>
    <t>pUmem_Cmd_JogStop(17)</t>
  </si>
  <si>
    <t>pUmem_Cmd_JogStop(18)</t>
  </si>
  <si>
    <t>pUmem_Cmd_JogStop(19)</t>
  </si>
  <si>
    <t>pUmem_Cmd_JogStop(20)</t>
  </si>
  <si>
    <t>pUmem_Cmd_JogStop(21)</t>
  </si>
  <si>
    <t>pUmem_Cmd_JogStop(22)</t>
  </si>
  <si>
    <t>pUmem_Cmd_JogStop(23)</t>
  </si>
  <si>
    <t>pUmem_Cmd_JogStop(24)</t>
  </si>
  <si>
    <t>pUmem_Cmd_JogStop(25)</t>
  </si>
  <si>
    <t>pUmem_Cmd_JogStop(26)</t>
  </si>
  <si>
    <t>pUmem_Cmd_JogStop(27)</t>
  </si>
  <si>
    <t>pUmem_Cmd_JogStop(28)</t>
  </si>
  <si>
    <t>pUmem_Cmd_JogStop(29)</t>
  </si>
  <si>
    <t>pUmem_Cmd_JogStop(30)</t>
  </si>
  <si>
    <t>pUmem_Cmd_JogStop(31)</t>
  </si>
  <si>
    <t>pUmem_Cmd_JogStop(32)</t>
  </si>
  <si>
    <t>pUmem_Cmd_HomeOffset(02)</t>
  </si>
  <si>
    <t>pUmem_Cmd_HomeOffset(03)</t>
  </si>
  <si>
    <t>pUmem_Cmd_HomeOffset(04)</t>
  </si>
  <si>
    <t>pUmem_Cmd_HomeOffset(05)</t>
  </si>
  <si>
    <t>pUmem_Cmd_HomeOffset(06)</t>
  </si>
  <si>
    <t>pUmem_Cmd_HomeOffset(07)</t>
  </si>
  <si>
    <t>pUmem_Cmd_HomeOffset(08)</t>
  </si>
  <si>
    <t>pUmem_Cmd_HomeOffset(09)</t>
  </si>
  <si>
    <t>pUmem_Cmd_HomeOffset(10)</t>
  </si>
  <si>
    <t>pUmem_Cmd_HomeOffset(11)</t>
  </si>
  <si>
    <t>pUmem_Cmd_HomeOffset(12)</t>
  </si>
  <si>
    <t>pUmem_Cmd_HomeOffset(13)</t>
  </si>
  <si>
    <t>pUmem_Cmd_HomeOffset(14)</t>
  </si>
  <si>
    <t>pUmem_Cmd_HomeOffset(15)</t>
  </si>
  <si>
    <t>pUmem_Cmd_HomeOffset(16)</t>
  </si>
  <si>
    <t>pUmem_Cmd_HomeOffset(17)</t>
  </si>
  <si>
    <t>pUmem_Cmd_HomeOffset(18)</t>
  </si>
  <si>
    <t>pUmem_Cmd_HomeOffset(19)</t>
  </si>
  <si>
    <t>pUmem_Cmd_HomeOffset(20)</t>
  </si>
  <si>
    <t>pUmem_Cmd_HomeOffset(21)</t>
  </si>
  <si>
    <t>pUmem_Cmd_HomeOffset(22)</t>
  </si>
  <si>
    <t>pUmem_Cmd_HomeOffset(23)</t>
  </si>
  <si>
    <t>pUmem_Cmd_HomeOffset(24)</t>
  </si>
  <si>
    <t>pUmem_Cmd_HomeOffset(25)</t>
  </si>
  <si>
    <t>pUmem_Cmd_HomeOffset(26)</t>
  </si>
  <si>
    <t>pUmem_Cmd_HomeOffset(27)</t>
  </si>
  <si>
    <t>pUmem_Cmd_HomeOffset(28)</t>
  </si>
  <si>
    <t>pUmem_Cmd_HomeOffset(29)</t>
  </si>
  <si>
    <t>pUmem_Cmd_HomeOffset(30)</t>
  </si>
  <si>
    <t>pUmem_Cmd_HomeOffset(31)</t>
  </si>
  <si>
    <t>pUmem_Cmd_HomeOffset(32)</t>
  </si>
  <si>
    <t>pUmem_Cmd_HomeStop(02)</t>
  </si>
  <si>
    <t>pUmem_Cmd_HomeStop(03)</t>
  </si>
  <si>
    <t>pUmem_Cmd_HomeStop(04)</t>
  </si>
  <si>
    <t>pUmem_Cmd_HomeStop(05)</t>
  </si>
  <si>
    <t>pUmem_Cmd_HomeStop(06)</t>
  </si>
  <si>
    <t>pUmem_Cmd_HomeStop(07)</t>
  </si>
  <si>
    <t>pUmem_Cmd_HomeStop(08)</t>
  </si>
  <si>
    <t>pUmem_Cmd_HomeStop(09)</t>
  </si>
  <si>
    <t>pUmem_Cmd_HomeStop(10)</t>
  </si>
  <si>
    <t>pUmem_Cmd_HomeStop(11)</t>
  </si>
  <si>
    <t>pUmem_Cmd_HomeStop(12)</t>
  </si>
  <si>
    <t>pUmem_Cmd_HomeStop(13)</t>
  </si>
  <si>
    <t>pUmem_Cmd_HomeStop(14)</t>
  </si>
  <si>
    <t>pUmem_Cmd_HomeStop(15)</t>
  </si>
  <si>
    <t>pUmem_Cmd_HomeStop(16)</t>
  </si>
  <si>
    <t>pUmem_Cmd_HomeStop(17)</t>
  </si>
  <si>
    <t>pUmem_Cmd_HomeStop(18)</t>
  </si>
  <si>
    <t>pUmem_Cmd_HomeStop(19)</t>
  </si>
  <si>
    <t>pUmem_Cmd_HomeStop(20)</t>
  </si>
  <si>
    <t>pUmem_Cmd_HomeStop(21)</t>
  </si>
  <si>
    <t>pUmem_Cmd_HomeStop(22)</t>
  </si>
  <si>
    <t>pUmem_Cmd_HomeStop(23)</t>
  </si>
  <si>
    <t>pUmem_Cmd_HomeStop(24)</t>
  </si>
  <si>
    <t>pUmem_Cmd_HomeStop(25)</t>
  </si>
  <si>
    <t>pUmem_Cmd_HomeStop(26)</t>
  </si>
  <si>
    <t>pUmem_Cmd_HomeStop(27)</t>
  </si>
  <si>
    <t>pUmem_Cmd_HomeStop(28)</t>
  </si>
  <si>
    <t>pUmem_Cmd_HomeStop(29)</t>
  </si>
  <si>
    <t>pUmem_Cmd_HomeStop(30)</t>
  </si>
  <si>
    <t>pUmem_Cmd_HomeStop(31)</t>
  </si>
  <si>
    <t>pUmem_Cmd_HomeStop(32)</t>
  </si>
  <si>
    <t>pUmem_Cmd_HomeStart(02)</t>
  </si>
  <si>
    <t>pUmem_Cmd_HomeStart(03)</t>
  </si>
  <si>
    <t>pUmem_Cmd_HomeStart(04)</t>
  </si>
  <si>
    <t>pUmem_Cmd_HomeStart(05)</t>
  </si>
  <si>
    <t>pUmem_Cmd_HomeStart(06)</t>
  </si>
  <si>
    <t>pUmem_Cmd_HomeStart(07)</t>
  </si>
  <si>
    <t>pUmem_Cmd_HomeStart(08)</t>
  </si>
  <si>
    <t>pUmem_Cmd_HomeStart(09)</t>
  </si>
  <si>
    <t>pUmem_Cmd_HomeStart(10)</t>
  </si>
  <si>
    <t>pUmem_Cmd_HomeStart(11)</t>
  </si>
  <si>
    <t>pUmem_Cmd_HomeStart(12)</t>
  </si>
  <si>
    <t>pUmem_Cmd_HomeStart(13)</t>
  </si>
  <si>
    <t>pUmem_Cmd_HomeStart(14)</t>
  </si>
  <si>
    <t>pUmem_Cmd_HomeStart(15)</t>
  </si>
  <si>
    <t>pUmem_Cmd_HomeStart(16)</t>
  </si>
  <si>
    <t>pUmem_Cmd_HomeStart(17)</t>
  </si>
  <si>
    <t>pUmem_Cmd_HomeStart(18)</t>
  </si>
  <si>
    <t>pUmem_Cmd_HomeStart(19)</t>
  </si>
  <si>
    <t>pUmem_Cmd_HomeStart(20)</t>
  </si>
  <si>
    <t>pUmem_Cmd_HomeStart(21)</t>
  </si>
  <si>
    <t>pUmem_Cmd_HomeStart(22)</t>
  </si>
  <si>
    <t>pUmem_Cmd_HomeStart(23)</t>
  </si>
  <si>
    <t>pUmem_Cmd_HomeStart(24)</t>
  </si>
  <si>
    <t>pUmem_Cmd_HomeStart(25)</t>
  </si>
  <si>
    <t>pUmem_Cmd_HomeStart(26)</t>
  </si>
  <si>
    <t>pUmem_Cmd_HomeStart(27)</t>
  </si>
  <si>
    <t>pUmem_Cmd_HomeStart(28)</t>
  </si>
  <si>
    <t>pUmem_Cmd_HomeStart(29)</t>
  </si>
  <si>
    <t>pUmem_Cmd_HomeStart(30)</t>
  </si>
  <si>
    <t>pUmem_Cmd_HomeStart(31)</t>
  </si>
  <si>
    <t>pUmem_Cmd_HomeStart(32)</t>
  </si>
  <si>
    <t>pUmem_Cmd_ServoOff(02)</t>
  </si>
  <si>
    <t>pUmem_Cmd_ServoOff(03)</t>
  </si>
  <si>
    <t>pUmem_Cmd_ServoOff(04)</t>
  </si>
  <si>
    <t>pUmem_Cmd_ServoOff(05)</t>
  </si>
  <si>
    <t>pUmem_Cmd_ServoOff(06)</t>
  </si>
  <si>
    <t>pUmem_Cmd_ServoOff(07)</t>
  </si>
  <si>
    <t>pUmem_Cmd_ServoOff(08)</t>
  </si>
  <si>
    <t>pUmem_Cmd_ServoOff(09)</t>
  </si>
  <si>
    <t>pUmem_Cmd_ServoOff(10)</t>
  </si>
  <si>
    <t>pUmem_Cmd_ServoOff(11)</t>
  </si>
  <si>
    <t>pUmem_Cmd_ServoOff(12)</t>
  </si>
  <si>
    <t>pUmem_Cmd_ServoOff(13)</t>
  </si>
  <si>
    <t>pUmem_Cmd_ServoOff(14)</t>
  </si>
  <si>
    <t>pUmem_Cmd_ServoOff(15)</t>
  </si>
  <si>
    <t>pUmem_Cmd_ServoOff(16)</t>
  </si>
  <si>
    <t>pUmem_Cmd_ServoOff(17)</t>
  </si>
  <si>
    <t>pUmem_Cmd_ServoOff(18)</t>
  </si>
  <si>
    <t>pUmem_Cmd_ServoOff(19)</t>
  </si>
  <si>
    <t>pUmem_Cmd_ServoOff(20)</t>
  </si>
  <si>
    <t>pUmem_Cmd_ServoOff(21)</t>
  </si>
  <si>
    <t>pUmem_Cmd_ServoOff(22)</t>
  </si>
  <si>
    <t>pUmem_Cmd_ServoOff(23)</t>
  </si>
  <si>
    <t>pUmem_Cmd_ServoOff(24)</t>
  </si>
  <si>
    <t>pUmem_Cmd_ServoOff(25)</t>
  </si>
  <si>
    <t>pUmem_Cmd_ServoOff(26)</t>
  </si>
  <si>
    <t>pUmem_Cmd_ServoOff(27)</t>
  </si>
  <si>
    <t>pUmem_Cmd_ServoOff(28)</t>
  </si>
  <si>
    <t>pUmem_Cmd_ServoOff(29)</t>
  </si>
  <si>
    <t>pUmem_Cmd_ServoOff(30)</t>
  </si>
  <si>
    <t>pUmem_Cmd_ServoOff(31)</t>
  </si>
  <si>
    <t>pUmem_Cmd_ServoOff(32)</t>
  </si>
  <si>
    <t>pUmem_Cmd_ServoOn(02)</t>
  </si>
  <si>
    <t>pUmem_Cmd_ServoOn(03)</t>
  </si>
  <si>
    <t>pUmem_Cmd_ServoOn(04)</t>
  </si>
  <si>
    <t>pUmem_Cmd_ServoOn(05)</t>
  </si>
  <si>
    <t>pUmem_Cmd_ServoOn(06)</t>
  </si>
  <si>
    <t>pUmem_Cmd_ServoOn(07)</t>
  </si>
  <si>
    <t>pUmem_Cmd_ServoOn(08)</t>
  </si>
  <si>
    <t>pUmem_Cmd_ServoOn(09)</t>
  </si>
  <si>
    <t>pUmem_Cmd_ServoOn(10)</t>
  </si>
  <si>
    <t>pUmem_Cmd_ServoOn(11)</t>
  </si>
  <si>
    <t>pUmem_Cmd_ServoOn(12)</t>
  </si>
  <si>
    <t>pUmem_Cmd_ServoOn(13)</t>
  </si>
  <si>
    <t>pUmem_Cmd_ServoOn(14)</t>
  </si>
  <si>
    <t>pUmem_Cmd_ServoOn(15)</t>
  </si>
  <si>
    <t>pUmem_Cmd_ServoOn(16)</t>
  </si>
  <si>
    <t>pUmem_Cmd_ServoOn(17)</t>
  </si>
  <si>
    <t>pUmem_Cmd_ServoOn(18)</t>
  </si>
  <si>
    <t>pUmem_Cmd_ServoOn(19)</t>
  </si>
  <si>
    <t>pUmem_Cmd_ServoOn(20)</t>
  </si>
  <si>
    <t>pUmem_Cmd_ServoOn(21)</t>
  </si>
  <si>
    <t>pUmem_Cmd_ServoOn(22)</t>
  </si>
  <si>
    <t>pUmem_Cmd_ServoOn(23)</t>
  </si>
  <si>
    <t>pUmem_Cmd_ServoOn(24)</t>
  </si>
  <si>
    <t>pUmem_Cmd_ServoOn(25)</t>
  </si>
  <si>
    <t>pUmem_Cmd_ServoOn(26)</t>
  </si>
  <si>
    <t>pUmem_Cmd_ServoOn(27)</t>
  </si>
  <si>
    <t>pUmem_Cmd_ServoOn(28)</t>
  </si>
  <si>
    <t>pUmem_Cmd_ServoOn(29)</t>
  </si>
  <si>
    <t>pUmem_Cmd_ServoOn(30)</t>
  </si>
  <si>
    <t>pUmem_Cmd_ServoOn(31)</t>
  </si>
  <si>
    <t>pUmem_Cmd_ServoOn(32)</t>
  </si>
  <si>
    <t>uint</t>
    <phoneticPr fontId="3" type="noConversion"/>
  </si>
  <si>
    <t>W/Vdc</t>
    <phoneticPr fontId="3" type="noConversion"/>
  </si>
  <si>
    <t>W</t>
    <phoneticPr fontId="3" type="noConversion"/>
  </si>
  <si>
    <t>mm/s</t>
    <phoneticPr fontId="3" type="noConversion"/>
  </si>
  <si>
    <t>1/1000deg</t>
    <phoneticPr fontId="3" type="noConversion"/>
  </si>
  <si>
    <t>m/s^2</t>
    <phoneticPr fontId="3" type="noConversion"/>
  </si>
  <si>
    <t>deg/s^2</t>
    <phoneticPr fontId="3" type="noConversion"/>
  </si>
  <si>
    <t>deg/s</t>
    <phoneticPr fontId="3" type="noConversion"/>
  </si>
  <si>
    <t>0..3</t>
    <phoneticPr fontId="3" type="noConversion"/>
  </si>
  <si>
    <t>pUmem_Cmd_Wd_AccLimitY</t>
  </si>
  <si>
    <t>pUmem_Cmd_Wd_AccLimitC</t>
  </si>
  <si>
    <t>pUmem_Cmd_Wd_VelLimitC</t>
  </si>
  <si>
    <t>pUmem_Cmd_Wd_EsyderBwd</t>
  </si>
  <si>
    <t>pUmem_Cmd_Wd_EsyderFwd</t>
    <phoneticPr fontId="3" type="noConversion"/>
  </si>
  <si>
    <t>pUmem_Cmd_Wd_RdyPosX</t>
    <phoneticPr fontId="3" type="noConversion"/>
  </si>
  <si>
    <t>pUmem_Cmd_Wd_RdyPosY</t>
    <phoneticPr fontId="3" type="noConversion"/>
  </si>
  <si>
    <t>pUmem_Cmd_Wd_RdyPosC</t>
    <phoneticPr fontId="3" type="noConversion"/>
  </si>
  <si>
    <t>pUmem_Cmd_Wd_SrtPosX</t>
    <phoneticPr fontId="3" type="noConversion"/>
  </si>
  <si>
    <t>pUmem_Cmd_Wd_SrtPosY</t>
    <phoneticPr fontId="3" type="noConversion"/>
  </si>
  <si>
    <t>pUmem_Cmd_Wd_SrtPosC</t>
    <phoneticPr fontId="3" type="noConversion"/>
  </si>
  <si>
    <t>pUmem_Cmd_Wd_SrtVelX</t>
    <phoneticPr fontId="3" type="noConversion"/>
  </si>
  <si>
    <t>pUmem_Cmd_Wd_SrtVelY</t>
    <phoneticPr fontId="3" type="noConversion"/>
  </si>
  <si>
    <t>pUmem_Cmd_Wd_SrtVelC</t>
    <phoneticPr fontId="3" type="noConversion"/>
  </si>
  <si>
    <t>pUmem_Cmd_Wd_MdiStart</t>
    <phoneticPr fontId="3" type="noConversion"/>
  </si>
  <si>
    <t>pUmem_Cmd_Wd_MdiPosX</t>
    <phoneticPr fontId="3" type="noConversion"/>
  </si>
  <si>
    <t>pUmem_Cmd_Wd_MdiAbort</t>
    <phoneticPr fontId="3" type="noConversion"/>
  </si>
  <si>
    <t>pUmem_Cmd_Wd_MdiPosY</t>
    <phoneticPr fontId="3" type="noConversion"/>
  </si>
  <si>
    <t>pUmem_Cmd_Wd_MdiPosC</t>
    <phoneticPr fontId="3" type="noConversion"/>
  </si>
  <si>
    <t>pUmem_Cmd_Wd_AccLimitX</t>
    <phoneticPr fontId="3" type="noConversion"/>
  </si>
  <si>
    <t>pUmem_Cmd_Wd_ProgStart</t>
    <phoneticPr fontId="3" type="noConversion"/>
  </si>
  <si>
    <t>pUmem_Cmd_Wd_ProgAbort</t>
    <phoneticPr fontId="3" type="noConversion"/>
  </si>
  <si>
    <t>pUmem_Cmd_Wd_ProgHold</t>
    <phoneticPr fontId="3" type="noConversion"/>
  </si>
  <si>
    <t>pUmem_Cmd_Wd_OutMode</t>
  </si>
  <si>
    <t>pUmem_Cmd_Wd_RefVel</t>
  </si>
  <si>
    <t>pUmem_Cmd_Wd_CorePowerSf</t>
  </si>
  <si>
    <t>pUmem_Cmd_Wd_CoreRefPower</t>
  </si>
  <si>
    <t>pUmem_Cmd_Wd_CoreMinPower</t>
  </si>
  <si>
    <t>pUmem_Cmd_Wd_CoreMaxPower</t>
  </si>
  <si>
    <t>pUmem_Cmd_Wd_RingPowerSf</t>
  </si>
  <si>
    <t>pUmem_Cmd_Wd_RingRefPower</t>
  </si>
  <si>
    <t>pUmem_Cmd_Wd_RingMinPower</t>
  </si>
  <si>
    <t>pUmem_Cmd_Wd_RingMaxPower</t>
  </si>
  <si>
    <t>pUmem_Cmd_Wd_WblEna</t>
  </si>
  <si>
    <t>pUmem_Cmd_Wd_WblLen</t>
  </si>
  <si>
    <t>pUmem_Cmd_Wd_WblType</t>
  </si>
  <si>
    <t>Welding Command</t>
    <phoneticPr fontId="3" type="noConversion"/>
  </si>
  <si>
    <t>pUmem_Cmd_Mc_HomeAbort</t>
    <phoneticPr fontId="3" type="noConversion"/>
  </si>
  <si>
    <t>pUmem_Cmd_Wd_WblOffsetX</t>
    <phoneticPr fontId="3" type="noConversion"/>
  </si>
  <si>
    <t>pUmem_Cmd_Wd_WblOffsetY</t>
    <phoneticPr fontId="3" type="noConversion"/>
  </si>
  <si>
    <t>pUmem_Cmd_Wd_WblRatioW</t>
    <phoneticPr fontId="3" type="noConversion"/>
  </si>
  <si>
    <t>pUmem_Cmd_Wd_WblRatioL</t>
    <phoneticPr fontId="3" type="noConversion"/>
  </si>
  <si>
    <t>pUmem_Cmd_Wd_WblDist</t>
    <phoneticPr fontId="3" type="noConversion"/>
  </si>
  <si>
    <t>pUmem_Cmd_Wd_RdyPosMove</t>
    <phoneticPr fontId="3" type="noConversion"/>
  </si>
  <si>
    <t>pUmem_Cmd_Wd_RdyPosStop</t>
    <phoneticPr fontId="3" type="noConversion"/>
  </si>
  <si>
    <t>pUmem_Cmd_Wd_SrtPosMove</t>
    <phoneticPr fontId="3" type="noConversion"/>
  </si>
  <si>
    <t>pUmem_Cmd_Wd_SrtPosStop</t>
    <phoneticPr fontId="3" type="noConversion"/>
  </si>
  <si>
    <t>pUmem_Cmd_Vs_ProgStart</t>
  </si>
  <si>
    <t>pUmem_Cmd_Vs_ProgAbort</t>
  </si>
  <si>
    <t>pUmem_Cmd_Vs_ProgHold</t>
  </si>
  <si>
    <t>pUmem_Cmd_Vs_RdyPosMove</t>
  </si>
  <si>
    <t>pUmem_Cmd_Vs_RdyPosStop</t>
  </si>
  <si>
    <t>pUmem_Cmd_Vs_SrtPosMove</t>
  </si>
  <si>
    <t>pUmem_Cmd_Vs_SrtPosStop</t>
  </si>
  <si>
    <t>pUmem_Cmd_Vs_RdyPosY</t>
  </si>
  <si>
    <t>pUmem_Cmd_Vs_RdyPosC</t>
  </si>
  <si>
    <t>pUmem_Cmd_Vs_SrtPosX</t>
  </si>
  <si>
    <t>pUmem_Cmd_Vs_SrtPosY</t>
  </si>
  <si>
    <t>pUmem_Cmd_Vs_SrtPosC</t>
  </si>
  <si>
    <t>pUmem_Cmd_Vs_SrtVelX</t>
  </si>
  <si>
    <t>pUmem_Cmd_Vs_SrtVelY</t>
  </si>
  <si>
    <t>pUmem_Cmd_Vs_SrtVelC</t>
  </si>
  <si>
    <t>pUmem_Cmd_Vs_MdiStart</t>
  </si>
  <si>
    <t>pUmem_Cmd_Vs_MdiAbort</t>
  </si>
  <si>
    <t>pUmem_Cmd_Vs_MdiPosX</t>
  </si>
  <si>
    <t>pUmem_Cmd_Vs_MdiPosY</t>
  </si>
  <si>
    <t>pUmem_Cmd_Vs_MdiPosC</t>
  </si>
  <si>
    <t>pUmem_Cmd_Vs_AccLimitX</t>
  </si>
  <si>
    <t>pUmem_Cmd_Vs_AccLimitY</t>
  </si>
  <si>
    <t>pUmem_Cmd_Vs_AccLimitC</t>
  </si>
  <si>
    <t>pUmem_Cmd_Vs_VelLimitC</t>
  </si>
  <si>
    <t>pUmem_Cmd_Vs_EsyderFwd</t>
  </si>
  <si>
    <t>pUmem_Cmd_Vs_EsyderBwd</t>
  </si>
  <si>
    <t>pUmem_Cmd_Vs_Period</t>
    <phoneticPr fontId="3" type="noConversion"/>
  </si>
  <si>
    <t>pUmem_Cmd_Vs_Duty</t>
    <phoneticPr fontId="3" type="noConversion"/>
  </si>
  <si>
    <t>서보 온</t>
    <phoneticPr fontId="3" type="noConversion"/>
  </si>
  <si>
    <t>서보 오프</t>
    <phoneticPr fontId="3" type="noConversion"/>
  </si>
  <si>
    <t>원점 검색 시작</t>
    <phoneticPr fontId="3" type="noConversion"/>
  </si>
  <si>
    <t>원점 검색 중지</t>
    <phoneticPr fontId="3" type="noConversion"/>
  </si>
  <si>
    <t>원점 오프셋</t>
    <phoneticPr fontId="3" type="noConversion"/>
  </si>
  <si>
    <t>조그이동 중지</t>
    <phoneticPr fontId="3" type="noConversion"/>
  </si>
  <si>
    <t>지속 조그이동 플러스</t>
    <phoneticPr fontId="3" type="noConversion"/>
  </si>
  <si>
    <t>지속 조그이동 마이너스</t>
    <phoneticPr fontId="3" type="noConversion"/>
  </si>
  <si>
    <t>절대위치 조그이동 시작</t>
    <phoneticPr fontId="3" type="noConversion"/>
  </si>
  <si>
    <t>상대위치 조그이동 시작</t>
    <phoneticPr fontId="3" type="noConversion"/>
  </si>
  <si>
    <t xml:space="preserve">절대위치 조그이동 타겟 </t>
    <phoneticPr fontId="3" type="noConversion"/>
  </si>
  <si>
    <t xml:space="preserve">상대위치 조그이동 거리 </t>
    <phoneticPr fontId="3" type="noConversion"/>
  </si>
  <si>
    <t>조그속도</t>
    <phoneticPr fontId="3" type="noConversion"/>
  </si>
  <si>
    <t>조그 가속시간</t>
    <phoneticPr fontId="3" type="noConversion"/>
  </si>
  <si>
    <t xml:space="preserve">조그 S-Curve 시간 </t>
    <phoneticPr fontId="3" type="noConversion"/>
  </si>
  <si>
    <t>장비 서보 온</t>
    <phoneticPr fontId="3" type="noConversion"/>
  </si>
  <si>
    <t>장비 서보 오프</t>
    <phoneticPr fontId="3" type="noConversion"/>
  </si>
  <si>
    <t>장비 원점 시작</t>
    <phoneticPr fontId="3" type="noConversion"/>
  </si>
  <si>
    <t>장비 원점 중지</t>
    <phoneticPr fontId="3" type="noConversion"/>
  </si>
  <si>
    <t>모션프로그램 시작</t>
    <phoneticPr fontId="3" type="noConversion"/>
  </si>
  <si>
    <t>모션프로그램 중지</t>
    <phoneticPr fontId="3" type="noConversion"/>
  </si>
  <si>
    <t>모션프로그램 일시정지</t>
    <phoneticPr fontId="3" type="noConversion"/>
  </si>
  <si>
    <t>모션프로그램 번호</t>
    <phoneticPr fontId="3" type="noConversion"/>
  </si>
  <si>
    <t>용접 시작</t>
    <phoneticPr fontId="3" type="noConversion"/>
  </si>
  <si>
    <t>용접 중지</t>
    <phoneticPr fontId="3" type="noConversion"/>
  </si>
  <si>
    <t>용접 일시정지</t>
    <phoneticPr fontId="3" type="noConversion"/>
  </si>
  <si>
    <t>대기 위치로 이동 시작</t>
    <phoneticPr fontId="3" type="noConversion"/>
  </si>
  <si>
    <t>대기 위치로 이동 정지</t>
    <phoneticPr fontId="3" type="noConversion"/>
  </si>
  <si>
    <t>시작 위치로 이동 시작</t>
    <phoneticPr fontId="3" type="noConversion"/>
  </si>
  <si>
    <t>시작 위치로 이동 정지</t>
    <phoneticPr fontId="3" type="noConversion"/>
  </si>
  <si>
    <t>X 준비 위치</t>
    <phoneticPr fontId="3" type="noConversion"/>
  </si>
  <si>
    <t>Y 준비 위치</t>
    <phoneticPr fontId="3" type="noConversion"/>
  </si>
  <si>
    <t>C 준비 위치</t>
    <phoneticPr fontId="3" type="noConversion"/>
  </si>
  <si>
    <t>X 시작 위치</t>
    <phoneticPr fontId="3" type="noConversion"/>
  </si>
  <si>
    <t>Y 시작 위치</t>
    <phoneticPr fontId="3" type="noConversion"/>
  </si>
  <si>
    <t>C 시작 위치</t>
    <phoneticPr fontId="3" type="noConversion"/>
  </si>
  <si>
    <t>X 시작 속도</t>
    <phoneticPr fontId="3" type="noConversion"/>
  </si>
  <si>
    <t>Y 시작 속도</t>
    <phoneticPr fontId="3" type="noConversion"/>
  </si>
  <si>
    <t>C 시작 속도</t>
    <phoneticPr fontId="3" type="noConversion"/>
  </si>
  <si>
    <t>메뉴얼 이동 시작</t>
    <phoneticPr fontId="3" type="noConversion"/>
  </si>
  <si>
    <t>메뉴얼 이동 정지</t>
    <phoneticPr fontId="3" type="noConversion"/>
  </si>
  <si>
    <t>메뉴얼 이동 X 위치</t>
    <phoneticPr fontId="3" type="noConversion"/>
  </si>
  <si>
    <t>메뉴얼 이동 Y 위치</t>
    <phoneticPr fontId="3" type="noConversion"/>
  </si>
  <si>
    <t>메뉴얼 이동 C 위치</t>
    <phoneticPr fontId="3" type="noConversion"/>
  </si>
  <si>
    <t>X 가속도 리미트</t>
    <phoneticPr fontId="3" type="noConversion"/>
  </si>
  <si>
    <t>Y 가속도 리미트</t>
    <phoneticPr fontId="3" type="noConversion"/>
  </si>
  <si>
    <t>C 가속도 리미트</t>
    <phoneticPr fontId="3" type="noConversion"/>
  </si>
  <si>
    <t>C 속도 리미트</t>
    <phoneticPr fontId="3" type="noConversion"/>
  </si>
  <si>
    <t>전동실린더 전진</t>
    <phoneticPr fontId="3" type="noConversion"/>
  </si>
  <si>
    <t>전동실린더 후진</t>
    <phoneticPr fontId="3" type="noConversion"/>
  </si>
  <si>
    <t>출력모드(0 : 고정출력, 1 : 속도가변)</t>
    <phoneticPr fontId="3" type="noConversion"/>
  </si>
  <si>
    <t>레이져 기준 속도</t>
    <phoneticPr fontId="3" type="noConversion"/>
  </si>
  <si>
    <t>레이져 파워 스케일</t>
    <phoneticPr fontId="3" type="noConversion"/>
  </si>
  <si>
    <t>레이져 기준 파워</t>
    <phoneticPr fontId="3" type="noConversion"/>
  </si>
  <si>
    <t>레이져 최소 출력</t>
    <phoneticPr fontId="3" type="noConversion"/>
  </si>
  <si>
    <t>레이져 최대 출력</t>
    <phoneticPr fontId="3" type="noConversion"/>
  </si>
  <si>
    <t>Pwm 활성</t>
    <phoneticPr fontId="3" type="noConversion"/>
  </si>
  <si>
    <t>우블 활성</t>
    <phoneticPr fontId="3" type="noConversion"/>
  </si>
  <si>
    <t>우블 길이</t>
    <phoneticPr fontId="3" type="noConversion"/>
  </si>
  <si>
    <t>우블 간격</t>
    <phoneticPr fontId="3" type="noConversion"/>
  </si>
  <si>
    <t>우블 모양 (0:원, 1:눈사람, 2:나비, 3:라인 )</t>
    <phoneticPr fontId="3" type="noConversion"/>
  </si>
  <si>
    <t>우블 가로비율</t>
    <phoneticPr fontId="3" type="noConversion"/>
  </si>
  <si>
    <t>우블 세로비율</t>
    <phoneticPr fontId="3" type="noConversion"/>
  </si>
  <si>
    <t>우블 오프셋 X</t>
    <phoneticPr fontId="3" type="noConversion"/>
  </si>
  <si>
    <t>우블 오프셋 Y</t>
    <phoneticPr fontId="3" type="noConversion"/>
  </si>
  <si>
    <t>검사 시작</t>
    <phoneticPr fontId="3" type="noConversion"/>
  </si>
  <si>
    <t>검사 중지</t>
    <phoneticPr fontId="3" type="noConversion"/>
  </si>
  <si>
    <t>검사 일시정지</t>
    <phoneticPr fontId="3" type="noConversion"/>
  </si>
  <si>
    <t>비젼 트리거 주기</t>
    <phoneticPr fontId="3" type="noConversion"/>
  </si>
  <si>
    <t>비젼 트리거 듀티</t>
    <phoneticPr fontId="3" type="noConversion"/>
  </si>
  <si>
    <t>지령위치</t>
    <phoneticPr fontId="3" type="noConversion"/>
  </si>
  <si>
    <t>실제위치</t>
    <phoneticPr fontId="3" type="noConversion"/>
  </si>
  <si>
    <t>속도</t>
    <phoneticPr fontId="3" type="noConversion"/>
  </si>
  <si>
    <t>부하량</t>
    <phoneticPr fontId="3" type="noConversion"/>
  </si>
  <si>
    <t>서보 온/오프</t>
    <phoneticPr fontId="3" type="noConversion"/>
  </si>
  <si>
    <t>인포지션</t>
    <phoneticPr fontId="3" type="noConversion"/>
  </si>
  <si>
    <t>원점 완료</t>
    <phoneticPr fontId="3" type="noConversion"/>
  </si>
  <si>
    <t>원점 진행중</t>
    <phoneticPr fontId="3" type="noConversion"/>
  </si>
  <si>
    <t>마이너스 리미트</t>
    <phoneticPr fontId="3" type="noConversion"/>
  </si>
  <si>
    <t>플러스 리미트</t>
    <phoneticPr fontId="3" type="noConversion"/>
  </si>
  <si>
    <t>위치편차 에러</t>
    <phoneticPr fontId="3" type="noConversion"/>
  </si>
  <si>
    <t>엠프 에러</t>
    <phoneticPr fontId="3" type="noConversion"/>
  </si>
  <si>
    <t>엔코더 에러</t>
    <phoneticPr fontId="3" type="noConversion"/>
  </si>
  <si>
    <t>과전류 에러</t>
    <phoneticPr fontId="3" type="noConversion"/>
  </si>
  <si>
    <t>장비 서보 온/오프</t>
    <phoneticPr fontId="3" type="noConversion"/>
  </si>
  <si>
    <t>장비 인포지션</t>
    <phoneticPr fontId="3" type="noConversion"/>
  </si>
  <si>
    <t>장비 원점 완료'</t>
    <phoneticPr fontId="3" type="noConversion"/>
  </si>
  <si>
    <t>장비 원점 진행</t>
    <phoneticPr fontId="3" type="noConversion"/>
  </si>
  <si>
    <t>모션프로그램 동작</t>
    <phoneticPr fontId="3" type="noConversion"/>
  </si>
  <si>
    <t>에러 발생</t>
    <phoneticPr fontId="3" type="noConversion"/>
  </si>
  <si>
    <t>에러 코드</t>
    <phoneticPr fontId="3" type="noConversion"/>
  </si>
  <si>
    <t>Vision Command</t>
    <phoneticPr fontId="3" type="noConversion"/>
  </si>
  <si>
    <t>pUmem_Sta_Wd_VectorVel</t>
    <phoneticPr fontId="3" type="noConversion"/>
  </si>
  <si>
    <t>X 좌표</t>
    <phoneticPr fontId="3" type="noConversion"/>
  </si>
  <si>
    <t>Y 좌표</t>
    <phoneticPr fontId="3" type="noConversion"/>
  </si>
  <si>
    <t>C 좌표</t>
    <phoneticPr fontId="3" type="noConversion"/>
  </si>
  <si>
    <t>벡터속도</t>
    <phoneticPr fontId="3" type="noConversion"/>
  </si>
  <si>
    <t>pUmem_Sta_Wd_ProgTime</t>
    <phoneticPr fontId="3" type="noConversion"/>
  </si>
  <si>
    <t>프로그램 수행시간</t>
    <phoneticPr fontId="3" type="noConversion"/>
  </si>
  <si>
    <t>ms</t>
    <phoneticPr fontId="3" type="noConversion"/>
  </si>
  <si>
    <t>um/s</t>
    <phoneticPr fontId="3" type="noConversion"/>
  </si>
  <si>
    <t>Welding Status</t>
    <phoneticPr fontId="3" type="noConversion"/>
  </si>
  <si>
    <t>Vision Status</t>
    <phoneticPr fontId="3" type="noConversion"/>
  </si>
  <si>
    <t>pUmem_Sta_Vs_VectorVel</t>
    <phoneticPr fontId="3" type="noConversion"/>
  </si>
  <si>
    <t>pUmem_Sta_Vs_ProgTime</t>
    <phoneticPr fontId="3" type="noConversion"/>
  </si>
  <si>
    <t>pUmem_Sta_Wd_ProgPosSx</t>
    <phoneticPr fontId="3" type="noConversion"/>
  </si>
  <si>
    <t>스캐너 X 좌표</t>
    <phoneticPr fontId="3" type="noConversion"/>
  </si>
  <si>
    <t>스캐너 Y 좌표</t>
    <phoneticPr fontId="3" type="noConversion"/>
  </si>
  <si>
    <t>pUmem_Sta_Wd_ProgPosWx</t>
    <phoneticPr fontId="3" type="noConversion"/>
  </si>
  <si>
    <t>pUmem_Sta_Wd_ProgPosWy</t>
    <phoneticPr fontId="3" type="noConversion"/>
  </si>
  <si>
    <t>pUmem_Sta_Wd_ProgPosWc</t>
    <phoneticPr fontId="3" type="noConversion"/>
  </si>
  <si>
    <t>pUmem_Sta_Vs_ProgPosVx</t>
    <phoneticPr fontId="3" type="noConversion"/>
  </si>
  <si>
    <t>pUmem_Sta_Vs_ProgPosVy</t>
    <phoneticPr fontId="3" type="noConversion"/>
  </si>
  <si>
    <t>pUmem_Sta_Vs_ProgPosVc</t>
    <phoneticPr fontId="3" type="noConversion"/>
  </si>
  <si>
    <t>pUmem_Sta_Wd_ProgPosSy</t>
    <phoneticPr fontId="3" type="noConversion"/>
  </si>
  <si>
    <t>이더켓 접속상태</t>
    <phoneticPr fontId="3" type="noConversion"/>
  </si>
  <si>
    <t>pUmem_Sta_Mc_EcatCon</t>
    <phoneticPr fontId="3" type="noConversion"/>
  </si>
  <si>
    <t>pUmem_Cmd_Mc_Fsave</t>
    <phoneticPr fontId="3" type="noConversion"/>
  </si>
  <si>
    <t>파라메터 Save</t>
    <phoneticPr fontId="3" type="noConversion"/>
  </si>
  <si>
    <t>pUmem_Cmd_Vs_RdyPosX</t>
    <phoneticPr fontId="3" type="noConversion"/>
  </si>
  <si>
    <t>pUmem_Cmd_Vs_RefVel</t>
  </si>
  <si>
    <t>pUmem_Cmd_Vs_TestShot</t>
    <phoneticPr fontId="3" type="noConversion"/>
  </si>
  <si>
    <t>pUmem_Cmd_Vs_ShotTime</t>
    <phoneticPr fontId="3" type="noConversion"/>
  </si>
  <si>
    <t>비젼 트리거 테스트</t>
    <phoneticPr fontId="3" type="noConversion"/>
  </si>
  <si>
    <t>비젼 트리거 테스트 온타임</t>
    <phoneticPr fontId="3" type="noConversion"/>
  </si>
  <si>
    <t>pUmem_Cmd_Wd_TestShot</t>
    <phoneticPr fontId="3" type="noConversion"/>
  </si>
  <si>
    <t>pUmem_Cmd_Wd_ShotTime</t>
    <phoneticPr fontId="3" type="noConversion"/>
  </si>
  <si>
    <t>레이져 테스트 샷타임</t>
    <phoneticPr fontId="3" type="noConversion"/>
  </si>
  <si>
    <t>pUmem_Cmd_Wd_RotOffsetX</t>
    <phoneticPr fontId="3" type="noConversion"/>
  </si>
  <si>
    <t>pUmem_Cmd_Wd_RotOffsetY</t>
    <phoneticPr fontId="3" type="noConversion"/>
  </si>
  <si>
    <t>회전중심 오프셋 Y</t>
    <phoneticPr fontId="3" type="noConversion"/>
  </si>
  <si>
    <t>회전중심 오프셋 X</t>
    <phoneticPr fontId="3" type="noConversion"/>
  </si>
  <si>
    <t>pUmem_Cmd_Vs_RotOffsetX</t>
    <phoneticPr fontId="3" type="noConversion"/>
  </si>
  <si>
    <t>pUmem_Cmd_Vs_RotOffsetY</t>
    <phoneticPr fontId="3" type="noConversion"/>
  </si>
  <si>
    <t>pGpio_Di00_TBD</t>
  </si>
  <si>
    <t>pGpio_Di01_EsldOut0</t>
  </si>
  <si>
    <t>pGpio_Di02_EsldOut1</t>
  </si>
  <si>
    <t>pGpio_Di03_EsldBusy</t>
  </si>
  <si>
    <t>pGpio_Di04_EsldArea</t>
  </si>
  <si>
    <t>pGpio_Di05_EsldSeton</t>
  </si>
  <si>
    <t>pGpio_Di06_EsldInp</t>
  </si>
  <si>
    <t>pGpio_Di07_EsldSvre</t>
  </si>
  <si>
    <t>pGpio_Di08_EsldEstop</t>
  </si>
  <si>
    <t>pGpio_Di09_EsldAlarm</t>
  </si>
  <si>
    <t>pGpio_Di10_TBD</t>
  </si>
  <si>
    <t>pGpio_Di11_TBD</t>
  </si>
  <si>
    <t>pGpio_Di12_TBD</t>
  </si>
  <si>
    <t>pGpio_Di13_TBD</t>
  </si>
  <si>
    <t>pGpio_Di14_TBD</t>
  </si>
  <si>
    <t>pGpio_Di15_TBD</t>
  </si>
  <si>
    <t>pGpio_Do00_LaserGate</t>
  </si>
  <si>
    <t>pGpio_Do01_EsldFwd</t>
  </si>
  <si>
    <t>pGpio_Do02_EsldBwd</t>
  </si>
  <si>
    <t>pGpio_Do03_EsldSetup</t>
  </si>
  <si>
    <t>pGpio_Do04_EsldHold</t>
  </si>
  <si>
    <t>pGpio_Do05_EsldDrive</t>
  </si>
  <si>
    <t>pGpio_Do06_EsldReset</t>
  </si>
  <si>
    <t>pGpio_Do07_EsldSvon</t>
  </si>
  <si>
    <t>pGpio_Do08_TBD</t>
  </si>
  <si>
    <t>pGpio_Do09_TBD</t>
  </si>
  <si>
    <t>pGpio_Do10_TBD</t>
  </si>
  <si>
    <t>pGpio_Do11_TBD</t>
  </si>
  <si>
    <t>pGpio_Do12_TBD</t>
  </si>
  <si>
    <t>pGpio_Do13_TBD</t>
  </si>
  <si>
    <t>pGpio_Do14_TBD</t>
  </si>
  <si>
    <t>pGpio_Do15_TBD</t>
  </si>
  <si>
    <t>pUmem_Cmd_Wd_PfmOnTime</t>
    <phoneticPr fontId="3" type="noConversion"/>
  </si>
  <si>
    <t>pUmem_Cmd_Wd_PfmPeriod</t>
    <phoneticPr fontId="3" type="noConversion"/>
  </si>
  <si>
    <t>PFM 주기</t>
    <phoneticPr fontId="3" type="noConversion"/>
  </si>
  <si>
    <t>PFM 출력 시간</t>
    <phoneticPr fontId="3" type="noConversion"/>
  </si>
  <si>
    <t>PFM Enable</t>
    <phoneticPr fontId="3" type="noConversion"/>
  </si>
  <si>
    <t>pUmem_Cmd_Wd_CorePfmEna</t>
    <phoneticPr fontId="3" type="noConversion"/>
  </si>
  <si>
    <t>pUmem_Cmd_Wd_RingPfmEna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</si>
</sst>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onsolas"/>
      <family val="3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" fillId="3" borderId="1" applyNumberFormat="0" applyAlignment="0" applyProtection="0">
      <alignment vertical="center"/>
    </xf>
  </cellStyleXfs>
  <cellXfs count="28">
    <xf numFmtId="0" fontId="0" fillId="0" borderId="0" xfId="0">
      <alignment vertical="center"/>
    </xf>
    <xf numFmtId="0" fontId="4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indent="1"/>
    </xf>
    <xf numFmtId="0" fontId="6" fillId="6" borderId="2" xfId="0" applyFont="1" applyFill="1" applyBorder="1" applyAlignment="1">
      <alignment horizontal="left" vertical="center" indent="1"/>
    </xf>
    <xf numFmtId="0" fontId="6" fillId="6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10" fontId="6" fillId="0" borderId="2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indent="1"/>
    </xf>
    <xf numFmtId="0" fontId="6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</cellXfs>
  <cellStyles count="3">
    <cellStyle name="보통 2" xfId="1" xr:uid="{00000000-0005-0000-0000-000000000000}"/>
    <cellStyle name="셀 확인 2" xfId="2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738"/>
  <sheetViews>
    <sheetView topLeftCell="E634" zoomScaleNormal="100" workbookViewId="0">
      <selection activeCell="G656" sqref="G656"/>
    </sheetView>
  </sheetViews>
  <sheetFormatPr defaultColWidth="8.625" defaultRowHeight="17.100000000000001" customHeight="1" x14ac:dyDescent="0.3"/>
  <cols>
    <col min="1" max="1" width="8.625" style="3"/>
    <col min="2" max="2" width="20.625" style="3" customWidth="1"/>
    <col min="3" max="3" width="11.25" style="3" bestFit="1" customWidth="1"/>
    <col min="4" max="4" width="4.5" style="3" bestFit="1" customWidth="1"/>
    <col min="5" max="6" width="13.875" style="3" bestFit="1" customWidth="1"/>
    <col min="7" max="7" width="40.625" style="3" customWidth="1"/>
    <col min="8" max="8" width="50.625" style="3" customWidth="1"/>
    <col min="9" max="9" width="15.625" style="10" customWidth="1"/>
    <col min="10" max="10" width="14.75" style="3" bestFit="1" customWidth="1"/>
    <col min="11" max="16384" width="8.625" style="3"/>
  </cols>
  <sheetData>
    <row r="3" spans="2:9" ht="17.100000000000001" customHeight="1" x14ac:dyDescent="0.3">
      <c r="B3" s="18" t="s">
        <v>8</v>
      </c>
      <c r="C3" s="18"/>
      <c r="D3" s="2"/>
      <c r="E3" s="2" t="s">
        <v>11</v>
      </c>
      <c r="F3" s="2" t="s">
        <v>12</v>
      </c>
      <c r="G3" s="2" t="s">
        <v>1</v>
      </c>
      <c r="H3" s="2" t="s">
        <v>2</v>
      </c>
      <c r="I3" s="2" t="s">
        <v>3</v>
      </c>
    </row>
    <row r="4" spans="2:9" ht="17.100000000000001" customHeight="1" x14ac:dyDescent="0.3">
      <c r="B4" s="19" t="s">
        <v>7</v>
      </c>
      <c r="C4" s="17" t="s">
        <v>181</v>
      </c>
      <c r="D4" s="4">
        <v>0</v>
      </c>
      <c r="E4" s="4">
        <v>10000</v>
      </c>
      <c r="F4" s="4" t="str">
        <f>DEC2HEX(E4)</f>
        <v>2710</v>
      </c>
      <c r="G4" s="5" t="s">
        <v>16</v>
      </c>
      <c r="H4" s="5" t="s">
        <v>2143</v>
      </c>
      <c r="I4" s="4" t="s">
        <v>14</v>
      </c>
    </row>
    <row r="5" spans="2:9" ht="17.100000000000001" customHeight="1" x14ac:dyDescent="0.3">
      <c r="B5" s="19"/>
      <c r="C5" s="17"/>
      <c r="D5" s="4">
        <v>1</v>
      </c>
      <c r="E5" s="4">
        <v>10004</v>
      </c>
      <c r="F5" s="4" t="str">
        <f t="shared" ref="F5:F6" si="0">DEC2HEX(E5)</f>
        <v>2714</v>
      </c>
      <c r="G5" s="5" t="s">
        <v>17</v>
      </c>
      <c r="H5" s="5" t="s">
        <v>2144</v>
      </c>
      <c r="I5" s="4" t="s">
        <v>14</v>
      </c>
    </row>
    <row r="6" spans="2:9" ht="17.100000000000001" customHeight="1" x14ac:dyDescent="0.3">
      <c r="B6" s="19"/>
      <c r="C6" s="17"/>
      <c r="D6" s="4">
        <v>2</v>
      </c>
      <c r="E6" s="4">
        <v>10008</v>
      </c>
      <c r="F6" s="4" t="str">
        <f t="shared" si="0"/>
        <v>2718</v>
      </c>
      <c r="G6" s="5" t="s">
        <v>1027</v>
      </c>
      <c r="H6" s="5" t="s">
        <v>2145</v>
      </c>
      <c r="I6" s="4" t="s">
        <v>15</v>
      </c>
    </row>
    <row r="7" spans="2:9" ht="17.100000000000001" customHeight="1" x14ac:dyDescent="0.3">
      <c r="B7" s="19"/>
      <c r="C7" s="17"/>
      <c r="D7" s="4">
        <v>3</v>
      </c>
      <c r="E7" s="4">
        <v>10012</v>
      </c>
      <c r="F7" s="4" t="str">
        <f t="shared" ref="F7:F70" si="1">DEC2HEX(E7)</f>
        <v>271C</v>
      </c>
      <c r="G7" s="5" t="s">
        <v>18</v>
      </c>
      <c r="H7" s="5" t="s">
        <v>2146</v>
      </c>
      <c r="I7" s="12">
        <v>1E-3</v>
      </c>
    </row>
    <row r="8" spans="2:9" ht="17.100000000000001" customHeight="1" x14ac:dyDescent="0.3">
      <c r="B8" s="19"/>
      <c r="C8" s="17"/>
      <c r="D8" s="4">
        <v>4</v>
      </c>
      <c r="E8" s="4">
        <v>10016</v>
      </c>
      <c r="F8" s="4" t="str">
        <f t="shared" si="1"/>
        <v>2720</v>
      </c>
      <c r="G8" s="5" t="s">
        <v>19</v>
      </c>
      <c r="H8" s="5" t="s">
        <v>2147</v>
      </c>
      <c r="I8" s="4" t="s">
        <v>5</v>
      </c>
    </row>
    <row r="9" spans="2:9" ht="17.100000000000001" customHeight="1" x14ac:dyDescent="0.3">
      <c r="B9" s="19"/>
      <c r="C9" s="17"/>
      <c r="D9" s="4">
        <v>5</v>
      </c>
      <c r="E9" s="4">
        <v>10020</v>
      </c>
      <c r="F9" s="4" t="str">
        <f t="shared" si="1"/>
        <v>2724</v>
      </c>
      <c r="G9" s="5" t="s">
        <v>177</v>
      </c>
      <c r="H9" s="5" t="s">
        <v>180</v>
      </c>
      <c r="I9" s="4" t="s">
        <v>5</v>
      </c>
    </row>
    <row r="10" spans="2:9" ht="17.100000000000001" customHeight="1" x14ac:dyDescent="0.3">
      <c r="B10" s="19"/>
      <c r="C10" s="17"/>
      <c r="D10" s="4">
        <v>6</v>
      </c>
      <c r="E10" s="4">
        <v>10024</v>
      </c>
      <c r="F10" s="4" t="str">
        <f t="shared" si="1"/>
        <v>2728</v>
      </c>
      <c r="G10" s="5" t="s">
        <v>20</v>
      </c>
      <c r="H10" s="5" t="s">
        <v>2148</v>
      </c>
      <c r="I10" s="4" t="s">
        <v>4</v>
      </c>
    </row>
    <row r="11" spans="2:9" ht="17.100000000000001" customHeight="1" x14ac:dyDescent="0.3">
      <c r="B11" s="19"/>
      <c r="C11" s="17"/>
      <c r="D11" s="4">
        <v>7</v>
      </c>
      <c r="E11" s="4">
        <v>10028</v>
      </c>
      <c r="F11" s="4" t="str">
        <f t="shared" si="1"/>
        <v>272C</v>
      </c>
      <c r="G11" s="5" t="s">
        <v>21</v>
      </c>
      <c r="H11" s="5" t="s">
        <v>2149</v>
      </c>
      <c r="I11" s="4" t="s">
        <v>4</v>
      </c>
    </row>
    <row r="12" spans="2:9" ht="17.100000000000001" customHeight="1" x14ac:dyDescent="0.3">
      <c r="B12" s="19"/>
      <c r="C12" s="17"/>
      <c r="D12" s="4">
        <v>8</v>
      </c>
      <c r="E12" s="4">
        <v>10032</v>
      </c>
      <c r="F12" s="4" t="str">
        <f t="shared" si="1"/>
        <v>2730</v>
      </c>
      <c r="G12" s="5" t="s">
        <v>22</v>
      </c>
      <c r="H12" s="5" t="s">
        <v>2150</v>
      </c>
      <c r="I12" s="4" t="s">
        <v>4</v>
      </c>
    </row>
    <row r="13" spans="2:9" ht="17.100000000000001" customHeight="1" x14ac:dyDescent="0.3">
      <c r="B13" s="19"/>
      <c r="C13" s="17"/>
      <c r="D13" s="4">
        <v>9</v>
      </c>
      <c r="E13" s="4">
        <v>10036</v>
      </c>
      <c r="F13" s="4" t="str">
        <f t="shared" si="1"/>
        <v>2734</v>
      </c>
      <c r="G13" s="5" t="s">
        <v>23</v>
      </c>
      <c r="H13" s="5" t="s">
        <v>2151</v>
      </c>
      <c r="I13" s="4" t="s">
        <v>4</v>
      </c>
    </row>
    <row r="14" spans="2:9" ht="17.100000000000001" customHeight="1" x14ac:dyDescent="0.3">
      <c r="B14" s="19"/>
      <c r="C14" s="17"/>
      <c r="D14" s="4">
        <v>10</v>
      </c>
      <c r="E14" s="4">
        <v>10040</v>
      </c>
      <c r="F14" s="4" t="str">
        <f t="shared" si="1"/>
        <v>2738</v>
      </c>
      <c r="G14" s="5" t="s">
        <v>24</v>
      </c>
      <c r="H14" s="5" t="s">
        <v>2152</v>
      </c>
      <c r="I14" s="4" t="s">
        <v>4</v>
      </c>
    </row>
    <row r="15" spans="2:9" ht="17.100000000000001" customHeight="1" x14ac:dyDescent="0.3">
      <c r="B15" s="19"/>
      <c r="C15" s="17"/>
      <c r="D15" s="4">
        <v>11</v>
      </c>
      <c r="E15" s="4">
        <v>10044</v>
      </c>
      <c r="F15" s="4" t="str">
        <f t="shared" si="1"/>
        <v>273C</v>
      </c>
      <c r="G15" s="5" t="s">
        <v>25</v>
      </c>
      <c r="H15" s="5" t="s">
        <v>2153</v>
      </c>
      <c r="I15" s="4" t="s">
        <v>4</v>
      </c>
    </row>
    <row r="16" spans="2:9" ht="17.100000000000001" customHeight="1" x14ac:dyDescent="0.3">
      <c r="B16" s="19"/>
      <c r="C16" s="17"/>
      <c r="D16" s="4">
        <v>12</v>
      </c>
      <c r="E16" s="4">
        <v>10048</v>
      </c>
      <c r="F16" s="4" t="str">
        <f t="shared" si="1"/>
        <v>2740</v>
      </c>
      <c r="G16" s="5" t="s">
        <v>26</v>
      </c>
      <c r="H16" s="5" t="s">
        <v>2154</v>
      </c>
      <c r="I16" s="4" t="s">
        <v>4</v>
      </c>
    </row>
    <row r="17" spans="2:9" ht="17.100000000000001" customHeight="1" x14ac:dyDescent="0.3">
      <c r="B17" s="19"/>
      <c r="C17" s="17"/>
      <c r="D17" s="4">
        <v>13</v>
      </c>
      <c r="E17" s="4">
        <v>10052</v>
      </c>
      <c r="F17" s="4" t="str">
        <f t="shared" si="1"/>
        <v>2744</v>
      </c>
      <c r="G17" s="5" t="s">
        <v>178</v>
      </c>
      <c r="H17" s="5" t="s">
        <v>2155</v>
      </c>
      <c r="I17" s="4" t="s">
        <v>4</v>
      </c>
    </row>
    <row r="18" spans="2:9" ht="17.100000000000001" customHeight="1" x14ac:dyDescent="0.3">
      <c r="B18" s="19"/>
      <c r="C18" s="17"/>
      <c r="D18" s="4">
        <v>14</v>
      </c>
      <c r="E18" s="4">
        <v>10056</v>
      </c>
      <c r="F18" s="4" t="str">
        <f t="shared" si="1"/>
        <v>2748</v>
      </c>
      <c r="G18" s="5" t="s">
        <v>179</v>
      </c>
      <c r="H18" s="5" t="s">
        <v>2156</v>
      </c>
      <c r="I18" s="4" t="s">
        <v>4</v>
      </c>
    </row>
    <row r="19" spans="2:9" ht="17.100000000000001" customHeight="1" x14ac:dyDescent="0.3">
      <c r="B19" s="19"/>
      <c r="C19" s="17"/>
      <c r="D19" s="4">
        <v>15</v>
      </c>
      <c r="E19" s="4">
        <v>10060</v>
      </c>
      <c r="F19" s="4" t="str">
        <f t="shared" si="1"/>
        <v>274C</v>
      </c>
      <c r="G19" s="6" t="str">
        <f t="shared" ref="G19:G23" si="2">"pUmem_Sta_TBD_"&amp;F19</f>
        <v>pUmem_Sta_TBD_274C</v>
      </c>
      <c r="H19" s="6"/>
      <c r="I19" s="7"/>
    </row>
    <row r="20" spans="2:9" ht="17.100000000000001" customHeight="1" x14ac:dyDescent="0.3">
      <c r="B20" s="19"/>
      <c r="C20" s="17"/>
      <c r="D20" s="4">
        <v>16</v>
      </c>
      <c r="E20" s="4">
        <v>10064</v>
      </c>
      <c r="F20" s="4" t="str">
        <f t="shared" si="1"/>
        <v>2750</v>
      </c>
      <c r="G20" s="6" t="str">
        <f t="shared" si="2"/>
        <v>pUmem_Sta_TBD_2750</v>
      </c>
      <c r="H20" s="6"/>
      <c r="I20" s="7"/>
    </row>
    <row r="21" spans="2:9" ht="17.100000000000001" customHeight="1" x14ac:dyDescent="0.3">
      <c r="B21" s="19"/>
      <c r="C21" s="17"/>
      <c r="D21" s="4">
        <v>17</v>
      </c>
      <c r="E21" s="4">
        <v>10068</v>
      </c>
      <c r="F21" s="4" t="str">
        <f t="shared" si="1"/>
        <v>2754</v>
      </c>
      <c r="G21" s="6" t="str">
        <f t="shared" si="2"/>
        <v>pUmem_Sta_TBD_2754</v>
      </c>
      <c r="H21" s="6"/>
      <c r="I21" s="7"/>
    </row>
    <row r="22" spans="2:9" ht="17.100000000000001" customHeight="1" x14ac:dyDescent="0.3">
      <c r="B22" s="19"/>
      <c r="C22" s="17"/>
      <c r="D22" s="4">
        <v>18</v>
      </c>
      <c r="E22" s="4">
        <v>10072</v>
      </c>
      <c r="F22" s="4" t="str">
        <f t="shared" si="1"/>
        <v>2758</v>
      </c>
      <c r="G22" s="6" t="str">
        <f t="shared" si="2"/>
        <v>pUmem_Sta_TBD_2758</v>
      </c>
      <c r="H22" s="6"/>
      <c r="I22" s="7"/>
    </row>
    <row r="23" spans="2:9" ht="17.100000000000001" customHeight="1" x14ac:dyDescent="0.3">
      <c r="B23" s="19"/>
      <c r="C23" s="17"/>
      <c r="D23" s="4">
        <v>19</v>
      </c>
      <c r="E23" s="4">
        <v>10076</v>
      </c>
      <c r="F23" s="4" t="str">
        <f t="shared" si="1"/>
        <v>275C</v>
      </c>
      <c r="G23" s="6" t="str">
        <f t="shared" si="2"/>
        <v>pUmem_Sta_TBD_275C</v>
      </c>
      <c r="H23" s="6"/>
      <c r="I23" s="7"/>
    </row>
    <row r="24" spans="2:9" ht="17.100000000000001" customHeight="1" x14ac:dyDescent="0.3">
      <c r="B24" s="19"/>
      <c r="C24" s="17" t="s">
        <v>182</v>
      </c>
      <c r="D24" s="4">
        <v>20</v>
      </c>
      <c r="E24" s="4">
        <v>10080</v>
      </c>
      <c r="F24" s="4" t="str">
        <f t="shared" si="1"/>
        <v>2760</v>
      </c>
      <c r="G24" s="5" t="s">
        <v>27</v>
      </c>
      <c r="H24" s="5" t="s">
        <v>2143</v>
      </c>
      <c r="I24" s="4" t="s">
        <v>14</v>
      </c>
    </row>
    <row r="25" spans="2:9" ht="17.100000000000001" customHeight="1" x14ac:dyDescent="0.3">
      <c r="B25" s="19"/>
      <c r="C25" s="17"/>
      <c r="D25" s="4">
        <v>21</v>
      </c>
      <c r="E25" s="4">
        <v>10084</v>
      </c>
      <c r="F25" s="4" t="str">
        <f t="shared" si="1"/>
        <v>2764</v>
      </c>
      <c r="G25" s="5" t="s">
        <v>28</v>
      </c>
      <c r="H25" s="5" t="s">
        <v>2144</v>
      </c>
      <c r="I25" s="4" t="s">
        <v>14</v>
      </c>
    </row>
    <row r="26" spans="2:9" ht="17.100000000000001" customHeight="1" x14ac:dyDescent="0.3">
      <c r="B26" s="19"/>
      <c r="C26" s="17"/>
      <c r="D26" s="4">
        <v>22</v>
      </c>
      <c r="E26" s="4">
        <v>10088</v>
      </c>
      <c r="F26" s="4" t="str">
        <f t="shared" si="1"/>
        <v>2768</v>
      </c>
      <c r="G26" s="5" t="s">
        <v>29</v>
      </c>
      <c r="H26" s="5" t="s">
        <v>2145</v>
      </c>
      <c r="I26" s="4" t="s">
        <v>15</v>
      </c>
    </row>
    <row r="27" spans="2:9" ht="17.100000000000001" customHeight="1" x14ac:dyDescent="0.3">
      <c r="B27" s="19"/>
      <c r="C27" s="17"/>
      <c r="D27" s="4">
        <v>23</v>
      </c>
      <c r="E27" s="4">
        <v>10092</v>
      </c>
      <c r="F27" s="4" t="str">
        <f t="shared" si="1"/>
        <v>276C</v>
      </c>
      <c r="G27" s="5" t="s">
        <v>30</v>
      </c>
      <c r="H27" s="5" t="s">
        <v>2146</v>
      </c>
      <c r="I27" s="12">
        <v>1E-3</v>
      </c>
    </row>
    <row r="28" spans="2:9" ht="17.100000000000001" customHeight="1" x14ac:dyDescent="0.3">
      <c r="B28" s="19"/>
      <c r="C28" s="17"/>
      <c r="D28" s="4">
        <v>24</v>
      </c>
      <c r="E28" s="4">
        <v>10096</v>
      </c>
      <c r="F28" s="4" t="str">
        <f t="shared" si="1"/>
        <v>2770</v>
      </c>
      <c r="G28" s="5" t="s">
        <v>31</v>
      </c>
      <c r="H28" s="5" t="s">
        <v>2147</v>
      </c>
      <c r="I28" s="4" t="s">
        <v>5</v>
      </c>
    </row>
    <row r="29" spans="2:9" ht="17.100000000000001" customHeight="1" x14ac:dyDescent="0.3">
      <c r="B29" s="19"/>
      <c r="C29" s="17"/>
      <c r="D29" s="4">
        <v>25</v>
      </c>
      <c r="E29" s="4">
        <v>10100</v>
      </c>
      <c r="F29" s="4" t="str">
        <f t="shared" si="1"/>
        <v>2774</v>
      </c>
      <c r="G29" s="5" t="s">
        <v>219</v>
      </c>
      <c r="H29" s="5" t="s">
        <v>180</v>
      </c>
      <c r="I29" s="4" t="s">
        <v>5</v>
      </c>
    </row>
    <row r="30" spans="2:9" ht="17.100000000000001" customHeight="1" x14ac:dyDescent="0.3">
      <c r="B30" s="19"/>
      <c r="C30" s="17"/>
      <c r="D30" s="4">
        <v>26</v>
      </c>
      <c r="E30" s="4">
        <v>10104</v>
      </c>
      <c r="F30" s="4" t="str">
        <f t="shared" si="1"/>
        <v>2778</v>
      </c>
      <c r="G30" s="5" t="s">
        <v>32</v>
      </c>
      <c r="H30" s="5" t="s">
        <v>2148</v>
      </c>
      <c r="I30" s="4" t="s">
        <v>4</v>
      </c>
    </row>
    <row r="31" spans="2:9" ht="17.100000000000001" customHeight="1" x14ac:dyDescent="0.3">
      <c r="B31" s="19"/>
      <c r="C31" s="17"/>
      <c r="D31" s="4">
        <v>27</v>
      </c>
      <c r="E31" s="4">
        <v>10108</v>
      </c>
      <c r="F31" s="4" t="str">
        <f t="shared" si="1"/>
        <v>277C</v>
      </c>
      <c r="G31" s="5" t="s">
        <v>33</v>
      </c>
      <c r="H31" s="5" t="s">
        <v>2149</v>
      </c>
      <c r="I31" s="4" t="s">
        <v>4</v>
      </c>
    </row>
    <row r="32" spans="2:9" ht="17.100000000000001" customHeight="1" x14ac:dyDescent="0.3">
      <c r="B32" s="19"/>
      <c r="C32" s="17"/>
      <c r="D32" s="4">
        <v>28</v>
      </c>
      <c r="E32" s="4">
        <v>10112</v>
      </c>
      <c r="F32" s="4" t="str">
        <f t="shared" si="1"/>
        <v>2780</v>
      </c>
      <c r="G32" s="5" t="s">
        <v>34</v>
      </c>
      <c r="H32" s="5" t="s">
        <v>2150</v>
      </c>
      <c r="I32" s="4" t="s">
        <v>4</v>
      </c>
    </row>
    <row r="33" spans="2:9" ht="17.100000000000001" customHeight="1" x14ac:dyDescent="0.3">
      <c r="B33" s="19"/>
      <c r="C33" s="17"/>
      <c r="D33" s="4">
        <v>29</v>
      </c>
      <c r="E33" s="4">
        <v>10116</v>
      </c>
      <c r="F33" s="4" t="str">
        <f t="shared" si="1"/>
        <v>2784</v>
      </c>
      <c r="G33" s="5" t="s">
        <v>35</v>
      </c>
      <c r="H33" s="5" t="s">
        <v>2151</v>
      </c>
      <c r="I33" s="4" t="s">
        <v>4</v>
      </c>
    </row>
    <row r="34" spans="2:9" ht="17.100000000000001" customHeight="1" x14ac:dyDescent="0.3">
      <c r="B34" s="19"/>
      <c r="C34" s="17"/>
      <c r="D34" s="4">
        <v>30</v>
      </c>
      <c r="E34" s="4">
        <v>10120</v>
      </c>
      <c r="F34" s="4" t="str">
        <f t="shared" si="1"/>
        <v>2788</v>
      </c>
      <c r="G34" s="5" t="s">
        <v>36</v>
      </c>
      <c r="H34" s="5" t="s">
        <v>2152</v>
      </c>
      <c r="I34" s="4" t="s">
        <v>4</v>
      </c>
    </row>
    <row r="35" spans="2:9" ht="17.100000000000001" customHeight="1" x14ac:dyDescent="0.3">
      <c r="B35" s="19"/>
      <c r="C35" s="17"/>
      <c r="D35" s="4">
        <v>31</v>
      </c>
      <c r="E35" s="4">
        <v>10124</v>
      </c>
      <c r="F35" s="4" t="str">
        <f t="shared" si="1"/>
        <v>278C</v>
      </c>
      <c r="G35" s="5" t="s">
        <v>37</v>
      </c>
      <c r="H35" s="5" t="s">
        <v>2153</v>
      </c>
      <c r="I35" s="4" t="s">
        <v>4</v>
      </c>
    </row>
    <row r="36" spans="2:9" ht="17.100000000000001" customHeight="1" x14ac:dyDescent="0.3">
      <c r="B36" s="19"/>
      <c r="C36" s="17"/>
      <c r="D36" s="4">
        <v>32</v>
      </c>
      <c r="E36" s="4">
        <v>10128</v>
      </c>
      <c r="F36" s="4" t="str">
        <f t="shared" si="1"/>
        <v>2790</v>
      </c>
      <c r="G36" s="5" t="s">
        <v>38</v>
      </c>
      <c r="H36" s="5" t="s">
        <v>2154</v>
      </c>
      <c r="I36" s="4" t="s">
        <v>4</v>
      </c>
    </row>
    <row r="37" spans="2:9" ht="17.100000000000001" customHeight="1" x14ac:dyDescent="0.3">
      <c r="B37" s="19"/>
      <c r="C37" s="17"/>
      <c r="D37" s="4">
        <v>33</v>
      </c>
      <c r="E37" s="4">
        <v>10132</v>
      </c>
      <c r="F37" s="4" t="str">
        <f t="shared" si="1"/>
        <v>2794</v>
      </c>
      <c r="G37" s="5" t="s">
        <v>220</v>
      </c>
      <c r="H37" s="5" t="s">
        <v>2155</v>
      </c>
      <c r="I37" s="4" t="s">
        <v>4</v>
      </c>
    </row>
    <row r="38" spans="2:9" ht="17.100000000000001" customHeight="1" x14ac:dyDescent="0.3">
      <c r="B38" s="19"/>
      <c r="C38" s="17"/>
      <c r="D38" s="4">
        <v>34</v>
      </c>
      <c r="E38" s="4">
        <v>10136</v>
      </c>
      <c r="F38" s="4" t="str">
        <f t="shared" si="1"/>
        <v>2798</v>
      </c>
      <c r="G38" s="5" t="s">
        <v>221</v>
      </c>
      <c r="H38" s="5" t="s">
        <v>2156</v>
      </c>
      <c r="I38" s="4" t="s">
        <v>4</v>
      </c>
    </row>
    <row r="39" spans="2:9" ht="17.100000000000001" customHeight="1" x14ac:dyDescent="0.3">
      <c r="B39" s="19"/>
      <c r="C39" s="17"/>
      <c r="D39" s="4">
        <v>35</v>
      </c>
      <c r="E39" s="4">
        <v>10140</v>
      </c>
      <c r="F39" s="4" t="str">
        <f t="shared" si="1"/>
        <v>279C</v>
      </c>
      <c r="G39" s="6" t="str">
        <f t="shared" ref="G39:G43" si="3">"pUmem_Sta_TBD_"&amp;F39</f>
        <v>pUmem_Sta_TBD_279C</v>
      </c>
      <c r="H39" s="6"/>
      <c r="I39" s="7"/>
    </row>
    <row r="40" spans="2:9" ht="17.100000000000001" customHeight="1" x14ac:dyDescent="0.3">
      <c r="B40" s="19"/>
      <c r="C40" s="17"/>
      <c r="D40" s="4">
        <v>36</v>
      </c>
      <c r="E40" s="4">
        <v>10144</v>
      </c>
      <c r="F40" s="4" t="str">
        <f t="shared" si="1"/>
        <v>27A0</v>
      </c>
      <c r="G40" s="6" t="str">
        <f t="shared" si="3"/>
        <v>pUmem_Sta_TBD_27A0</v>
      </c>
      <c r="H40" s="6"/>
      <c r="I40" s="7"/>
    </row>
    <row r="41" spans="2:9" ht="17.100000000000001" customHeight="1" x14ac:dyDescent="0.3">
      <c r="B41" s="19"/>
      <c r="C41" s="17"/>
      <c r="D41" s="4">
        <v>37</v>
      </c>
      <c r="E41" s="4">
        <v>10148</v>
      </c>
      <c r="F41" s="4" t="str">
        <f t="shared" si="1"/>
        <v>27A4</v>
      </c>
      <c r="G41" s="6" t="str">
        <f t="shared" si="3"/>
        <v>pUmem_Sta_TBD_27A4</v>
      </c>
      <c r="H41" s="6"/>
      <c r="I41" s="7"/>
    </row>
    <row r="42" spans="2:9" ht="17.100000000000001" customHeight="1" x14ac:dyDescent="0.3">
      <c r="B42" s="19"/>
      <c r="C42" s="17"/>
      <c r="D42" s="4">
        <v>38</v>
      </c>
      <c r="E42" s="4">
        <v>10152</v>
      </c>
      <c r="F42" s="4" t="str">
        <f t="shared" si="1"/>
        <v>27A8</v>
      </c>
      <c r="G42" s="6" t="str">
        <f t="shared" si="3"/>
        <v>pUmem_Sta_TBD_27A8</v>
      </c>
      <c r="H42" s="6"/>
      <c r="I42" s="7"/>
    </row>
    <row r="43" spans="2:9" ht="17.100000000000001" customHeight="1" x14ac:dyDescent="0.3">
      <c r="B43" s="19"/>
      <c r="C43" s="17"/>
      <c r="D43" s="4">
        <v>39</v>
      </c>
      <c r="E43" s="4">
        <v>10156</v>
      </c>
      <c r="F43" s="4" t="str">
        <f t="shared" si="1"/>
        <v>27AC</v>
      </c>
      <c r="G43" s="6" t="str">
        <f t="shared" si="3"/>
        <v>pUmem_Sta_TBD_27AC</v>
      </c>
      <c r="H43" s="6"/>
      <c r="I43" s="7"/>
    </row>
    <row r="44" spans="2:9" ht="17.100000000000001" customHeight="1" x14ac:dyDescent="0.3">
      <c r="B44" s="19"/>
      <c r="C44" s="17" t="s">
        <v>183</v>
      </c>
      <c r="D44" s="4">
        <v>40</v>
      </c>
      <c r="E44" s="4">
        <v>10160</v>
      </c>
      <c r="F44" s="4" t="str">
        <f t="shared" si="1"/>
        <v>27B0</v>
      </c>
      <c r="G44" s="5" t="s">
        <v>39</v>
      </c>
      <c r="H44" s="5" t="s">
        <v>2143</v>
      </c>
      <c r="I44" s="4" t="s">
        <v>14</v>
      </c>
    </row>
    <row r="45" spans="2:9" ht="17.100000000000001" customHeight="1" x14ac:dyDescent="0.3">
      <c r="B45" s="19"/>
      <c r="C45" s="17"/>
      <c r="D45" s="4">
        <v>41</v>
      </c>
      <c r="E45" s="4">
        <v>10164</v>
      </c>
      <c r="F45" s="4" t="str">
        <f t="shared" si="1"/>
        <v>27B4</v>
      </c>
      <c r="G45" s="5" t="s">
        <v>40</v>
      </c>
      <c r="H45" s="5" t="s">
        <v>2144</v>
      </c>
      <c r="I45" s="4" t="s">
        <v>14</v>
      </c>
    </row>
    <row r="46" spans="2:9" ht="17.100000000000001" customHeight="1" x14ac:dyDescent="0.3">
      <c r="B46" s="19"/>
      <c r="C46" s="17"/>
      <c r="D46" s="4">
        <v>42</v>
      </c>
      <c r="E46" s="4">
        <v>10168</v>
      </c>
      <c r="F46" s="4" t="str">
        <f t="shared" si="1"/>
        <v>27B8</v>
      </c>
      <c r="G46" s="5" t="s">
        <v>41</v>
      </c>
      <c r="H46" s="5" t="s">
        <v>2145</v>
      </c>
      <c r="I46" s="4" t="s">
        <v>15</v>
      </c>
    </row>
    <row r="47" spans="2:9" ht="17.100000000000001" customHeight="1" x14ac:dyDescent="0.3">
      <c r="B47" s="19"/>
      <c r="C47" s="17"/>
      <c r="D47" s="4">
        <v>43</v>
      </c>
      <c r="E47" s="4">
        <v>10172</v>
      </c>
      <c r="F47" s="4" t="str">
        <f t="shared" si="1"/>
        <v>27BC</v>
      </c>
      <c r="G47" s="5" t="s">
        <v>42</v>
      </c>
      <c r="H47" s="5" t="s">
        <v>2146</v>
      </c>
      <c r="I47" s="12">
        <v>1E-3</v>
      </c>
    </row>
    <row r="48" spans="2:9" ht="17.100000000000001" customHeight="1" x14ac:dyDescent="0.3">
      <c r="B48" s="19"/>
      <c r="C48" s="17"/>
      <c r="D48" s="4">
        <v>44</v>
      </c>
      <c r="E48" s="4">
        <v>10176</v>
      </c>
      <c r="F48" s="4" t="str">
        <f t="shared" si="1"/>
        <v>27C0</v>
      </c>
      <c r="G48" s="5" t="s">
        <v>43</v>
      </c>
      <c r="H48" s="5" t="s">
        <v>2147</v>
      </c>
      <c r="I48" s="4" t="s">
        <v>5</v>
      </c>
    </row>
    <row r="49" spans="2:9" ht="17.100000000000001" customHeight="1" x14ac:dyDescent="0.3">
      <c r="B49" s="19"/>
      <c r="C49" s="17"/>
      <c r="D49" s="4">
        <v>45</v>
      </c>
      <c r="E49" s="4">
        <v>10180</v>
      </c>
      <c r="F49" s="4" t="str">
        <f t="shared" si="1"/>
        <v>27C4</v>
      </c>
      <c r="G49" s="5" t="s">
        <v>222</v>
      </c>
      <c r="H49" s="5" t="s">
        <v>180</v>
      </c>
      <c r="I49" s="4" t="s">
        <v>5</v>
      </c>
    </row>
    <row r="50" spans="2:9" ht="17.100000000000001" customHeight="1" x14ac:dyDescent="0.3">
      <c r="B50" s="19"/>
      <c r="C50" s="17"/>
      <c r="D50" s="4">
        <v>46</v>
      </c>
      <c r="E50" s="4">
        <v>10184</v>
      </c>
      <c r="F50" s="4" t="str">
        <f t="shared" si="1"/>
        <v>27C8</v>
      </c>
      <c r="G50" s="5" t="s">
        <v>44</v>
      </c>
      <c r="H50" s="5" t="s">
        <v>2148</v>
      </c>
      <c r="I50" s="4" t="s">
        <v>4</v>
      </c>
    </row>
    <row r="51" spans="2:9" ht="17.100000000000001" customHeight="1" x14ac:dyDescent="0.3">
      <c r="B51" s="19"/>
      <c r="C51" s="17"/>
      <c r="D51" s="4">
        <v>47</v>
      </c>
      <c r="E51" s="4">
        <v>10188</v>
      </c>
      <c r="F51" s="4" t="str">
        <f t="shared" si="1"/>
        <v>27CC</v>
      </c>
      <c r="G51" s="5" t="s">
        <v>45</v>
      </c>
      <c r="H51" s="5" t="s">
        <v>2149</v>
      </c>
      <c r="I51" s="4" t="s">
        <v>4</v>
      </c>
    </row>
    <row r="52" spans="2:9" ht="17.100000000000001" customHeight="1" x14ac:dyDescent="0.3">
      <c r="B52" s="19"/>
      <c r="C52" s="17"/>
      <c r="D52" s="4">
        <v>48</v>
      </c>
      <c r="E52" s="4">
        <v>10192</v>
      </c>
      <c r="F52" s="4" t="str">
        <f t="shared" si="1"/>
        <v>27D0</v>
      </c>
      <c r="G52" s="5" t="s">
        <v>46</v>
      </c>
      <c r="H52" s="5" t="s">
        <v>2150</v>
      </c>
      <c r="I52" s="4" t="s">
        <v>4</v>
      </c>
    </row>
    <row r="53" spans="2:9" ht="17.100000000000001" customHeight="1" x14ac:dyDescent="0.3">
      <c r="B53" s="19"/>
      <c r="C53" s="17"/>
      <c r="D53" s="4">
        <v>49</v>
      </c>
      <c r="E53" s="4">
        <v>10196</v>
      </c>
      <c r="F53" s="4" t="str">
        <f t="shared" si="1"/>
        <v>27D4</v>
      </c>
      <c r="G53" s="5" t="s">
        <v>47</v>
      </c>
      <c r="H53" s="5" t="s">
        <v>2151</v>
      </c>
      <c r="I53" s="4" t="s">
        <v>4</v>
      </c>
    </row>
    <row r="54" spans="2:9" ht="17.100000000000001" customHeight="1" x14ac:dyDescent="0.3">
      <c r="B54" s="19"/>
      <c r="C54" s="17"/>
      <c r="D54" s="4">
        <v>50</v>
      </c>
      <c r="E54" s="4">
        <v>10200</v>
      </c>
      <c r="F54" s="4" t="str">
        <f t="shared" si="1"/>
        <v>27D8</v>
      </c>
      <c r="G54" s="5" t="s">
        <v>48</v>
      </c>
      <c r="H54" s="5" t="s">
        <v>2152</v>
      </c>
      <c r="I54" s="4" t="s">
        <v>4</v>
      </c>
    </row>
    <row r="55" spans="2:9" ht="17.100000000000001" customHeight="1" x14ac:dyDescent="0.3">
      <c r="B55" s="19"/>
      <c r="C55" s="17"/>
      <c r="D55" s="4">
        <v>51</v>
      </c>
      <c r="E55" s="4">
        <v>10204</v>
      </c>
      <c r="F55" s="4" t="str">
        <f t="shared" si="1"/>
        <v>27DC</v>
      </c>
      <c r="G55" s="5" t="s">
        <v>49</v>
      </c>
      <c r="H55" s="5" t="s">
        <v>2153</v>
      </c>
      <c r="I55" s="4" t="s">
        <v>4</v>
      </c>
    </row>
    <row r="56" spans="2:9" ht="17.100000000000001" customHeight="1" x14ac:dyDescent="0.3">
      <c r="B56" s="19"/>
      <c r="C56" s="17"/>
      <c r="D56" s="4">
        <v>52</v>
      </c>
      <c r="E56" s="4">
        <v>10208</v>
      </c>
      <c r="F56" s="4" t="str">
        <f t="shared" si="1"/>
        <v>27E0</v>
      </c>
      <c r="G56" s="5" t="s">
        <v>50</v>
      </c>
      <c r="H56" s="5" t="s">
        <v>2154</v>
      </c>
      <c r="I56" s="4" t="s">
        <v>4</v>
      </c>
    </row>
    <row r="57" spans="2:9" ht="17.100000000000001" customHeight="1" x14ac:dyDescent="0.3">
      <c r="B57" s="19"/>
      <c r="C57" s="17"/>
      <c r="D57" s="4">
        <v>53</v>
      </c>
      <c r="E57" s="4">
        <v>10212</v>
      </c>
      <c r="F57" s="4" t="str">
        <f t="shared" si="1"/>
        <v>27E4</v>
      </c>
      <c r="G57" s="5" t="s">
        <v>223</v>
      </c>
      <c r="H57" s="5" t="s">
        <v>2155</v>
      </c>
      <c r="I57" s="4" t="s">
        <v>4</v>
      </c>
    </row>
    <row r="58" spans="2:9" ht="17.100000000000001" customHeight="1" x14ac:dyDescent="0.3">
      <c r="B58" s="19"/>
      <c r="C58" s="17"/>
      <c r="D58" s="4">
        <v>54</v>
      </c>
      <c r="E58" s="4">
        <v>10216</v>
      </c>
      <c r="F58" s="4" t="str">
        <f t="shared" si="1"/>
        <v>27E8</v>
      </c>
      <c r="G58" s="5" t="s">
        <v>224</v>
      </c>
      <c r="H58" s="5" t="s">
        <v>2156</v>
      </c>
      <c r="I58" s="4" t="s">
        <v>4</v>
      </c>
    </row>
    <row r="59" spans="2:9" ht="17.100000000000001" customHeight="1" x14ac:dyDescent="0.3">
      <c r="B59" s="19"/>
      <c r="C59" s="17"/>
      <c r="D59" s="4">
        <v>55</v>
      </c>
      <c r="E59" s="4">
        <v>10220</v>
      </c>
      <c r="F59" s="4" t="str">
        <f t="shared" si="1"/>
        <v>27EC</v>
      </c>
      <c r="G59" s="6" t="str">
        <f t="shared" ref="G59:G63" si="4">"pUmem_Sta_TBD_"&amp;F59</f>
        <v>pUmem_Sta_TBD_27EC</v>
      </c>
      <c r="H59" s="6"/>
      <c r="I59" s="7"/>
    </row>
    <row r="60" spans="2:9" ht="17.100000000000001" customHeight="1" x14ac:dyDescent="0.3">
      <c r="B60" s="19"/>
      <c r="C60" s="17"/>
      <c r="D60" s="4">
        <v>56</v>
      </c>
      <c r="E60" s="4">
        <v>10224</v>
      </c>
      <c r="F60" s="4" t="str">
        <f t="shared" si="1"/>
        <v>27F0</v>
      </c>
      <c r="G60" s="6" t="str">
        <f t="shared" si="4"/>
        <v>pUmem_Sta_TBD_27F0</v>
      </c>
      <c r="H60" s="6"/>
      <c r="I60" s="7"/>
    </row>
    <row r="61" spans="2:9" ht="17.100000000000001" customHeight="1" x14ac:dyDescent="0.3">
      <c r="B61" s="19"/>
      <c r="C61" s="17"/>
      <c r="D61" s="4">
        <v>57</v>
      </c>
      <c r="E61" s="4">
        <v>10228</v>
      </c>
      <c r="F61" s="4" t="str">
        <f t="shared" si="1"/>
        <v>27F4</v>
      </c>
      <c r="G61" s="6" t="str">
        <f t="shared" si="4"/>
        <v>pUmem_Sta_TBD_27F4</v>
      </c>
      <c r="H61" s="6"/>
      <c r="I61" s="7"/>
    </row>
    <row r="62" spans="2:9" ht="17.100000000000001" customHeight="1" x14ac:dyDescent="0.3">
      <c r="B62" s="19"/>
      <c r="C62" s="17"/>
      <c r="D62" s="4">
        <v>58</v>
      </c>
      <c r="E62" s="4">
        <v>10232</v>
      </c>
      <c r="F62" s="4" t="str">
        <f t="shared" si="1"/>
        <v>27F8</v>
      </c>
      <c r="G62" s="6" t="str">
        <f t="shared" si="4"/>
        <v>pUmem_Sta_TBD_27F8</v>
      </c>
      <c r="H62" s="6"/>
      <c r="I62" s="7"/>
    </row>
    <row r="63" spans="2:9" ht="17.100000000000001" customHeight="1" x14ac:dyDescent="0.3">
      <c r="B63" s="19"/>
      <c r="C63" s="17"/>
      <c r="D63" s="4">
        <v>59</v>
      </c>
      <c r="E63" s="4">
        <v>10236</v>
      </c>
      <c r="F63" s="4" t="str">
        <f t="shared" si="1"/>
        <v>27FC</v>
      </c>
      <c r="G63" s="6" t="str">
        <f t="shared" si="4"/>
        <v>pUmem_Sta_TBD_27FC</v>
      </c>
      <c r="H63" s="6"/>
      <c r="I63" s="7"/>
    </row>
    <row r="64" spans="2:9" ht="17.100000000000001" customHeight="1" x14ac:dyDescent="0.3">
      <c r="B64" s="19"/>
      <c r="C64" s="17" t="s">
        <v>184</v>
      </c>
      <c r="D64" s="4">
        <v>60</v>
      </c>
      <c r="E64" s="4">
        <v>10240</v>
      </c>
      <c r="F64" s="4" t="str">
        <f t="shared" si="1"/>
        <v>2800</v>
      </c>
      <c r="G64" s="5" t="s">
        <v>51</v>
      </c>
      <c r="H64" s="5" t="s">
        <v>2143</v>
      </c>
      <c r="I64" s="4" t="s">
        <v>14</v>
      </c>
    </row>
    <row r="65" spans="2:10" ht="17.100000000000001" customHeight="1" x14ac:dyDescent="0.3">
      <c r="B65" s="19"/>
      <c r="C65" s="17"/>
      <c r="D65" s="4">
        <v>61</v>
      </c>
      <c r="E65" s="4">
        <v>10244</v>
      </c>
      <c r="F65" s="4" t="str">
        <f t="shared" si="1"/>
        <v>2804</v>
      </c>
      <c r="G65" s="5" t="s">
        <v>52</v>
      </c>
      <c r="H65" s="5" t="s">
        <v>2144</v>
      </c>
      <c r="I65" s="4" t="s">
        <v>14</v>
      </c>
    </row>
    <row r="66" spans="2:10" ht="17.100000000000001" customHeight="1" x14ac:dyDescent="0.3">
      <c r="B66" s="19"/>
      <c r="C66" s="17"/>
      <c r="D66" s="4">
        <v>62</v>
      </c>
      <c r="E66" s="4">
        <v>10248</v>
      </c>
      <c r="F66" s="4" t="str">
        <f t="shared" si="1"/>
        <v>2808</v>
      </c>
      <c r="G66" s="5" t="s">
        <v>53</v>
      </c>
      <c r="H66" s="5" t="s">
        <v>2145</v>
      </c>
      <c r="I66" s="4" t="s">
        <v>15</v>
      </c>
    </row>
    <row r="67" spans="2:10" ht="17.100000000000001" customHeight="1" x14ac:dyDescent="0.3">
      <c r="B67" s="19"/>
      <c r="C67" s="17"/>
      <c r="D67" s="4">
        <v>63</v>
      </c>
      <c r="E67" s="4">
        <v>10252</v>
      </c>
      <c r="F67" s="4" t="str">
        <f t="shared" si="1"/>
        <v>280C</v>
      </c>
      <c r="G67" s="5" t="s">
        <v>54</v>
      </c>
      <c r="H67" s="5" t="s">
        <v>2146</v>
      </c>
      <c r="I67" s="12">
        <v>1E-3</v>
      </c>
    </row>
    <row r="68" spans="2:10" ht="17.100000000000001" customHeight="1" x14ac:dyDescent="0.3">
      <c r="B68" s="19"/>
      <c r="C68" s="17"/>
      <c r="D68" s="4">
        <v>64</v>
      </c>
      <c r="E68" s="4">
        <v>10256</v>
      </c>
      <c r="F68" s="4" t="str">
        <f t="shared" si="1"/>
        <v>2810</v>
      </c>
      <c r="G68" s="5" t="s">
        <v>55</v>
      </c>
      <c r="H68" s="5" t="s">
        <v>2147</v>
      </c>
      <c r="I68" s="4" t="s">
        <v>5</v>
      </c>
      <c r="J68" s="8"/>
    </row>
    <row r="69" spans="2:10" ht="17.100000000000001" customHeight="1" x14ac:dyDescent="0.3">
      <c r="B69" s="19"/>
      <c r="C69" s="17"/>
      <c r="D69" s="4">
        <v>65</v>
      </c>
      <c r="E69" s="4">
        <v>10260</v>
      </c>
      <c r="F69" s="4" t="str">
        <f t="shared" si="1"/>
        <v>2814</v>
      </c>
      <c r="G69" s="5" t="s">
        <v>225</v>
      </c>
      <c r="H69" s="5" t="s">
        <v>180</v>
      </c>
      <c r="I69" s="4" t="s">
        <v>5</v>
      </c>
    </row>
    <row r="70" spans="2:10" ht="17.100000000000001" customHeight="1" x14ac:dyDescent="0.3">
      <c r="B70" s="19"/>
      <c r="C70" s="17"/>
      <c r="D70" s="4">
        <v>66</v>
      </c>
      <c r="E70" s="4">
        <v>10264</v>
      </c>
      <c r="F70" s="4" t="str">
        <f t="shared" si="1"/>
        <v>2818</v>
      </c>
      <c r="G70" s="5" t="s">
        <v>56</v>
      </c>
      <c r="H70" s="5" t="s">
        <v>2148</v>
      </c>
      <c r="I70" s="4" t="s">
        <v>4</v>
      </c>
    </row>
    <row r="71" spans="2:10" ht="17.100000000000001" customHeight="1" x14ac:dyDescent="0.3">
      <c r="B71" s="19"/>
      <c r="C71" s="17"/>
      <c r="D71" s="4">
        <v>67</v>
      </c>
      <c r="E71" s="4">
        <v>10268</v>
      </c>
      <c r="F71" s="4" t="str">
        <f t="shared" ref="F71:F134" si="5">DEC2HEX(E71)</f>
        <v>281C</v>
      </c>
      <c r="G71" s="5" t="s">
        <v>57</v>
      </c>
      <c r="H71" s="5" t="s">
        <v>2149</v>
      </c>
      <c r="I71" s="4" t="s">
        <v>4</v>
      </c>
    </row>
    <row r="72" spans="2:10" ht="17.100000000000001" customHeight="1" x14ac:dyDescent="0.3">
      <c r="B72" s="19"/>
      <c r="C72" s="17"/>
      <c r="D72" s="4">
        <v>68</v>
      </c>
      <c r="E72" s="4">
        <v>10272</v>
      </c>
      <c r="F72" s="4" t="str">
        <f t="shared" si="5"/>
        <v>2820</v>
      </c>
      <c r="G72" s="5" t="s">
        <v>58</v>
      </c>
      <c r="H72" s="5" t="s">
        <v>2150</v>
      </c>
      <c r="I72" s="4" t="s">
        <v>4</v>
      </c>
    </row>
    <row r="73" spans="2:10" ht="17.100000000000001" customHeight="1" x14ac:dyDescent="0.3">
      <c r="B73" s="19"/>
      <c r="C73" s="17"/>
      <c r="D73" s="4">
        <v>69</v>
      </c>
      <c r="E73" s="4">
        <v>10276</v>
      </c>
      <c r="F73" s="4" t="str">
        <f t="shared" si="5"/>
        <v>2824</v>
      </c>
      <c r="G73" s="5" t="s">
        <v>59</v>
      </c>
      <c r="H73" s="5" t="s">
        <v>2151</v>
      </c>
      <c r="I73" s="4" t="s">
        <v>4</v>
      </c>
    </row>
    <row r="74" spans="2:10" ht="17.100000000000001" customHeight="1" x14ac:dyDescent="0.3">
      <c r="B74" s="19"/>
      <c r="C74" s="17"/>
      <c r="D74" s="4">
        <v>70</v>
      </c>
      <c r="E74" s="4">
        <v>10280</v>
      </c>
      <c r="F74" s="4" t="str">
        <f t="shared" si="5"/>
        <v>2828</v>
      </c>
      <c r="G74" s="5" t="s">
        <v>60</v>
      </c>
      <c r="H74" s="5" t="s">
        <v>2152</v>
      </c>
      <c r="I74" s="4" t="s">
        <v>4</v>
      </c>
    </row>
    <row r="75" spans="2:10" ht="17.100000000000001" customHeight="1" x14ac:dyDescent="0.3">
      <c r="B75" s="19"/>
      <c r="C75" s="17"/>
      <c r="D75" s="4">
        <v>71</v>
      </c>
      <c r="E75" s="4">
        <v>10284</v>
      </c>
      <c r="F75" s="4" t="str">
        <f t="shared" si="5"/>
        <v>282C</v>
      </c>
      <c r="G75" s="5" t="s">
        <v>61</v>
      </c>
      <c r="H75" s="5" t="s">
        <v>2153</v>
      </c>
      <c r="I75" s="4" t="s">
        <v>4</v>
      </c>
    </row>
    <row r="76" spans="2:10" ht="17.100000000000001" customHeight="1" x14ac:dyDescent="0.3">
      <c r="B76" s="19"/>
      <c r="C76" s="17"/>
      <c r="D76" s="4">
        <v>72</v>
      </c>
      <c r="E76" s="4">
        <v>10288</v>
      </c>
      <c r="F76" s="4" t="str">
        <f t="shared" si="5"/>
        <v>2830</v>
      </c>
      <c r="G76" s="5" t="s">
        <v>62</v>
      </c>
      <c r="H76" s="5" t="s">
        <v>2154</v>
      </c>
      <c r="I76" s="4" t="s">
        <v>4</v>
      </c>
    </row>
    <row r="77" spans="2:10" ht="17.100000000000001" customHeight="1" x14ac:dyDescent="0.3">
      <c r="B77" s="19"/>
      <c r="C77" s="17"/>
      <c r="D77" s="4">
        <v>73</v>
      </c>
      <c r="E77" s="4">
        <v>10292</v>
      </c>
      <c r="F77" s="4" t="str">
        <f t="shared" si="5"/>
        <v>2834</v>
      </c>
      <c r="G77" s="5" t="s">
        <v>226</v>
      </c>
      <c r="H77" s="5" t="s">
        <v>2155</v>
      </c>
      <c r="I77" s="4" t="s">
        <v>4</v>
      </c>
    </row>
    <row r="78" spans="2:10" ht="17.100000000000001" customHeight="1" x14ac:dyDescent="0.3">
      <c r="B78" s="19"/>
      <c r="C78" s="17"/>
      <c r="D78" s="4">
        <v>74</v>
      </c>
      <c r="E78" s="4">
        <v>10296</v>
      </c>
      <c r="F78" s="4" t="str">
        <f t="shared" si="5"/>
        <v>2838</v>
      </c>
      <c r="G78" s="5" t="s">
        <v>227</v>
      </c>
      <c r="H78" s="5" t="s">
        <v>2156</v>
      </c>
      <c r="I78" s="4" t="s">
        <v>4</v>
      </c>
    </row>
    <row r="79" spans="2:10" ht="17.100000000000001" customHeight="1" x14ac:dyDescent="0.3">
      <c r="B79" s="19"/>
      <c r="C79" s="17"/>
      <c r="D79" s="4">
        <v>75</v>
      </c>
      <c r="E79" s="4">
        <v>10300</v>
      </c>
      <c r="F79" s="4" t="str">
        <f t="shared" si="5"/>
        <v>283C</v>
      </c>
      <c r="G79" s="6" t="str">
        <f t="shared" ref="G79:G83" si="6">"pUmem_Sta_TBD_"&amp;F79</f>
        <v>pUmem_Sta_TBD_283C</v>
      </c>
      <c r="H79" s="6"/>
      <c r="I79" s="7"/>
    </row>
    <row r="80" spans="2:10" ht="17.100000000000001" customHeight="1" x14ac:dyDescent="0.3">
      <c r="B80" s="19"/>
      <c r="C80" s="17"/>
      <c r="D80" s="4">
        <v>76</v>
      </c>
      <c r="E80" s="4">
        <v>10304</v>
      </c>
      <c r="F80" s="4" t="str">
        <f t="shared" si="5"/>
        <v>2840</v>
      </c>
      <c r="G80" s="6" t="str">
        <f t="shared" si="6"/>
        <v>pUmem_Sta_TBD_2840</v>
      </c>
      <c r="H80" s="6"/>
      <c r="I80" s="7"/>
    </row>
    <row r="81" spans="2:9" ht="17.100000000000001" customHeight="1" x14ac:dyDescent="0.3">
      <c r="B81" s="19"/>
      <c r="C81" s="17"/>
      <c r="D81" s="4">
        <v>77</v>
      </c>
      <c r="E81" s="4">
        <v>10308</v>
      </c>
      <c r="F81" s="4" t="str">
        <f t="shared" si="5"/>
        <v>2844</v>
      </c>
      <c r="G81" s="6" t="str">
        <f t="shared" si="6"/>
        <v>pUmem_Sta_TBD_2844</v>
      </c>
      <c r="H81" s="6"/>
      <c r="I81" s="7"/>
    </row>
    <row r="82" spans="2:9" ht="17.100000000000001" customHeight="1" x14ac:dyDescent="0.3">
      <c r="B82" s="19"/>
      <c r="C82" s="17"/>
      <c r="D82" s="4">
        <v>78</v>
      </c>
      <c r="E82" s="4">
        <v>10312</v>
      </c>
      <c r="F82" s="4" t="str">
        <f t="shared" si="5"/>
        <v>2848</v>
      </c>
      <c r="G82" s="6" t="str">
        <f t="shared" si="6"/>
        <v>pUmem_Sta_TBD_2848</v>
      </c>
      <c r="H82" s="6"/>
      <c r="I82" s="7"/>
    </row>
    <row r="83" spans="2:9" ht="17.100000000000001" customHeight="1" x14ac:dyDescent="0.3">
      <c r="B83" s="19"/>
      <c r="C83" s="17"/>
      <c r="D83" s="4">
        <v>79</v>
      </c>
      <c r="E83" s="4">
        <v>10316</v>
      </c>
      <c r="F83" s="4" t="str">
        <f t="shared" si="5"/>
        <v>284C</v>
      </c>
      <c r="G83" s="6" t="str">
        <f t="shared" si="6"/>
        <v>pUmem_Sta_TBD_284C</v>
      </c>
      <c r="H83" s="6"/>
      <c r="I83" s="7"/>
    </row>
    <row r="84" spans="2:9" ht="17.100000000000001" customHeight="1" x14ac:dyDescent="0.3">
      <c r="B84" s="19"/>
      <c r="C84" s="17" t="s">
        <v>185</v>
      </c>
      <c r="D84" s="4">
        <v>80</v>
      </c>
      <c r="E84" s="4">
        <v>10320</v>
      </c>
      <c r="F84" s="4" t="str">
        <f t="shared" si="5"/>
        <v>2850</v>
      </c>
      <c r="G84" s="5" t="s">
        <v>63</v>
      </c>
      <c r="H84" s="5" t="s">
        <v>2143</v>
      </c>
      <c r="I84" s="4" t="s">
        <v>14</v>
      </c>
    </row>
    <row r="85" spans="2:9" ht="17.100000000000001" customHeight="1" x14ac:dyDescent="0.3">
      <c r="B85" s="19"/>
      <c r="C85" s="17"/>
      <c r="D85" s="4">
        <v>81</v>
      </c>
      <c r="E85" s="4">
        <v>10324</v>
      </c>
      <c r="F85" s="4" t="str">
        <f t="shared" si="5"/>
        <v>2854</v>
      </c>
      <c r="G85" s="5" t="s">
        <v>64</v>
      </c>
      <c r="H85" s="5" t="s">
        <v>2144</v>
      </c>
      <c r="I85" s="4" t="s">
        <v>14</v>
      </c>
    </row>
    <row r="86" spans="2:9" ht="17.100000000000001" customHeight="1" x14ac:dyDescent="0.3">
      <c r="B86" s="19"/>
      <c r="C86" s="17"/>
      <c r="D86" s="4">
        <v>82</v>
      </c>
      <c r="E86" s="4">
        <v>10328</v>
      </c>
      <c r="F86" s="4" t="str">
        <f t="shared" si="5"/>
        <v>2858</v>
      </c>
      <c r="G86" s="5" t="s">
        <v>65</v>
      </c>
      <c r="H86" s="5" t="s">
        <v>2145</v>
      </c>
      <c r="I86" s="4" t="s">
        <v>15</v>
      </c>
    </row>
    <row r="87" spans="2:9" ht="17.100000000000001" customHeight="1" x14ac:dyDescent="0.3">
      <c r="B87" s="19"/>
      <c r="C87" s="17"/>
      <c r="D87" s="4">
        <v>83</v>
      </c>
      <c r="E87" s="4">
        <v>10332</v>
      </c>
      <c r="F87" s="4" t="str">
        <f t="shared" si="5"/>
        <v>285C</v>
      </c>
      <c r="G87" s="5" t="s">
        <v>66</v>
      </c>
      <c r="H87" s="5" t="s">
        <v>2146</v>
      </c>
      <c r="I87" s="12">
        <v>1E-3</v>
      </c>
    </row>
    <row r="88" spans="2:9" ht="17.100000000000001" customHeight="1" x14ac:dyDescent="0.3">
      <c r="B88" s="19"/>
      <c r="C88" s="17"/>
      <c r="D88" s="4">
        <v>84</v>
      </c>
      <c r="E88" s="4">
        <v>10336</v>
      </c>
      <c r="F88" s="4" t="str">
        <f t="shared" si="5"/>
        <v>2860</v>
      </c>
      <c r="G88" s="5" t="s">
        <v>67</v>
      </c>
      <c r="H88" s="5" t="s">
        <v>2147</v>
      </c>
      <c r="I88" s="4" t="s">
        <v>5</v>
      </c>
    </row>
    <row r="89" spans="2:9" ht="17.100000000000001" customHeight="1" x14ac:dyDescent="0.3">
      <c r="B89" s="19"/>
      <c r="C89" s="17"/>
      <c r="D89" s="4">
        <v>85</v>
      </c>
      <c r="E89" s="4">
        <v>10340</v>
      </c>
      <c r="F89" s="4" t="str">
        <f t="shared" si="5"/>
        <v>2864</v>
      </c>
      <c r="G89" s="5" t="s">
        <v>228</v>
      </c>
      <c r="H89" s="5" t="s">
        <v>180</v>
      </c>
      <c r="I89" s="4" t="s">
        <v>5</v>
      </c>
    </row>
    <row r="90" spans="2:9" ht="17.100000000000001" customHeight="1" x14ac:dyDescent="0.3">
      <c r="B90" s="19"/>
      <c r="C90" s="17"/>
      <c r="D90" s="4">
        <v>86</v>
      </c>
      <c r="E90" s="4">
        <v>10344</v>
      </c>
      <c r="F90" s="4" t="str">
        <f t="shared" si="5"/>
        <v>2868</v>
      </c>
      <c r="G90" s="5" t="s">
        <v>68</v>
      </c>
      <c r="H90" s="5" t="s">
        <v>2148</v>
      </c>
      <c r="I90" s="4" t="s">
        <v>4</v>
      </c>
    </row>
    <row r="91" spans="2:9" ht="17.100000000000001" customHeight="1" x14ac:dyDescent="0.3">
      <c r="B91" s="19"/>
      <c r="C91" s="17"/>
      <c r="D91" s="4">
        <v>87</v>
      </c>
      <c r="E91" s="4">
        <v>10348</v>
      </c>
      <c r="F91" s="4" t="str">
        <f t="shared" si="5"/>
        <v>286C</v>
      </c>
      <c r="G91" s="5" t="s">
        <v>69</v>
      </c>
      <c r="H91" s="5" t="s">
        <v>2149</v>
      </c>
      <c r="I91" s="4" t="s">
        <v>4</v>
      </c>
    </row>
    <row r="92" spans="2:9" ht="17.100000000000001" customHeight="1" x14ac:dyDescent="0.3">
      <c r="B92" s="19"/>
      <c r="C92" s="17"/>
      <c r="D92" s="4">
        <v>88</v>
      </c>
      <c r="E92" s="4">
        <v>10352</v>
      </c>
      <c r="F92" s="4" t="str">
        <f t="shared" si="5"/>
        <v>2870</v>
      </c>
      <c r="G92" s="5" t="s">
        <v>70</v>
      </c>
      <c r="H92" s="5" t="s">
        <v>2150</v>
      </c>
      <c r="I92" s="4" t="s">
        <v>4</v>
      </c>
    </row>
    <row r="93" spans="2:9" ht="17.100000000000001" customHeight="1" x14ac:dyDescent="0.3">
      <c r="B93" s="19"/>
      <c r="C93" s="17"/>
      <c r="D93" s="4">
        <v>89</v>
      </c>
      <c r="E93" s="4">
        <v>10356</v>
      </c>
      <c r="F93" s="4" t="str">
        <f t="shared" si="5"/>
        <v>2874</v>
      </c>
      <c r="G93" s="5" t="s">
        <v>71</v>
      </c>
      <c r="H93" s="5" t="s">
        <v>2151</v>
      </c>
      <c r="I93" s="4" t="s">
        <v>4</v>
      </c>
    </row>
    <row r="94" spans="2:9" ht="17.100000000000001" customHeight="1" x14ac:dyDescent="0.3">
      <c r="B94" s="19"/>
      <c r="C94" s="17"/>
      <c r="D94" s="4">
        <v>90</v>
      </c>
      <c r="E94" s="4">
        <v>10360</v>
      </c>
      <c r="F94" s="4" t="str">
        <f t="shared" si="5"/>
        <v>2878</v>
      </c>
      <c r="G94" s="5" t="s">
        <v>72</v>
      </c>
      <c r="H94" s="5" t="s">
        <v>2152</v>
      </c>
      <c r="I94" s="4" t="s">
        <v>4</v>
      </c>
    </row>
    <row r="95" spans="2:9" ht="17.100000000000001" customHeight="1" x14ac:dyDescent="0.3">
      <c r="B95" s="19"/>
      <c r="C95" s="17"/>
      <c r="D95" s="4">
        <v>91</v>
      </c>
      <c r="E95" s="4">
        <v>10364</v>
      </c>
      <c r="F95" s="4" t="str">
        <f t="shared" si="5"/>
        <v>287C</v>
      </c>
      <c r="G95" s="5" t="s">
        <v>73</v>
      </c>
      <c r="H95" s="5" t="s">
        <v>2153</v>
      </c>
      <c r="I95" s="4" t="s">
        <v>4</v>
      </c>
    </row>
    <row r="96" spans="2:9" ht="17.100000000000001" customHeight="1" x14ac:dyDescent="0.3">
      <c r="B96" s="19"/>
      <c r="C96" s="17"/>
      <c r="D96" s="4">
        <v>92</v>
      </c>
      <c r="E96" s="4">
        <v>10368</v>
      </c>
      <c r="F96" s="4" t="str">
        <f t="shared" si="5"/>
        <v>2880</v>
      </c>
      <c r="G96" s="5" t="s">
        <v>74</v>
      </c>
      <c r="H96" s="5" t="s">
        <v>2154</v>
      </c>
      <c r="I96" s="4" t="s">
        <v>4</v>
      </c>
    </row>
    <row r="97" spans="2:9" ht="17.100000000000001" customHeight="1" x14ac:dyDescent="0.3">
      <c r="B97" s="19"/>
      <c r="C97" s="17"/>
      <c r="D97" s="4">
        <v>93</v>
      </c>
      <c r="E97" s="4">
        <v>10372</v>
      </c>
      <c r="F97" s="4" t="str">
        <f t="shared" si="5"/>
        <v>2884</v>
      </c>
      <c r="G97" s="5" t="s">
        <v>229</v>
      </c>
      <c r="H97" s="5" t="s">
        <v>2155</v>
      </c>
      <c r="I97" s="4" t="s">
        <v>4</v>
      </c>
    </row>
    <row r="98" spans="2:9" ht="17.100000000000001" customHeight="1" x14ac:dyDescent="0.3">
      <c r="B98" s="19"/>
      <c r="C98" s="17"/>
      <c r="D98" s="4">
        <v>94</v>
      </c>
      <c r="E98" s="4">
        <v>10376</v>
      </c>
      <c r="F98" s="4" t="str">
        <f t="shared" si="5"/>
        <v>2888</v>
      </c>
      <c r="G98" s="5" t="s">
        <v>230</v>
      </c>
      <c r="H98" s="5" t="s">
        <v>2156</v>
      </c>
      <c r="I98" s="4" t="s">
        <v>4</v>
      </c>
    </row>
    <row r="99" spans="2:9" ht="17.100000000000001" customHeight="1" x14ac:dyDescent="0.3">
      <c r="B99" s="19"/>
      <c r="C99" s="17"/>
      <c r="D99" s="4">
        <v>95</v>
      </c>
      <c r="E99" s="4">
        <v>10380</v>
      </c>
      <c r="F99" s="4" t="str">
        <f t="shared" si="5"/>
        <v>288C</v>
      </c>
      <c r="G99" s="6" t="str">
        <f t="shared" ref="G99:G103" si="7">"pUmem_Sta_TBD_"&amp;F99</f>
        <v>pUmem_Sta_TBD_288C</v>
      </c>
      <c r="H99" s="6"/>
      <c r="I99" s="7"/>
    </row>
    <row r="100" spans="2:9" ht="17.100000000000001" customHeight="1" x14ac:dyDescent="0.3">
      <c r="B100" s="19"/>
      <c r="C100" s="17"/>
      <c r="D100" s="4">
        <v>96</v>
      </c>
      <c r="E100" s="4">
        <v>10384</v>
      </c>
      <c r="F100" s="4" t="str">
        <f t="shared" si="5"/>
        <v>2890</v>
      </c>
      <c r="G100" s="6" t="str">
        <f t="shared" si="7"/>
        <v>pUmem_Sta_TBD_2890</v>
      </c>
      <c r="H100" s="6"/>
      <c r="I100" s="7"/>
    </row>
    <row r="101" spans="2:9" ht="17.100000000000001" customHeight="1" x14ac:dyDescent="0.3">
      <c r="B101" s="19"/>
      <c r="C101" s="17"/>
      <c r="D101" s="4">
        <v>97</v>
      </c>
      <c r="E101" s="4">
        <v>10388</v>
      </c>
      <c r="F101" s="4" t="str">
        <f t="shared" si="5"/>
        <v>2894</v>
      </c>
      <c r="G101" s="6" t="str">
        <f t="shared" si="7"/>
        <v>pUmem_Sta_TBD_2894</v>
      </c>
      <c r="H101" s="6"/>
      <c r="I101" s="7"/>
    </row>
    <row r="102" spans="2:9" ht="17.100000000000001" customHeight="1" x14ac:dyDescent="0.3">
      <c r="B102" s="19"/>
      <c r="C102" s="17"/>
      <c r="D102" s="4">
        <v>98</v>
      </c>
      <c r="E102" s="4">
        <v>10392</v>
      </c>
      <c r="F102" s="4" t="str">
        <f t="shared" si="5"/>
        <v>2898</v>
      </c>
      <c r="G102" s="6" t="str">
        <f t="shared" si="7"/>
        <v>pUmem_Sta_TBD_2898</v>
      </c>
      <c r="H102" s="6"/>
      <c r="I102" s="7"/>
    </row>
    <row r="103" spans="2:9" ht="17.100000000000001" customHeight="1" x14ac:dyDescent="0.3">
      <c r="B103" s="19"/>
      <c r="C103" s="17"/>
      <c r="D103" s="4">
        <v>99</v>
      </c>
      <c r="E103" s="4">
        <v>10396</v>
      </c>
      <c r="F103" s="4" t="str">
        <f t="shared" si="5"/>
        <v>289C</v>
      </c>
      <c r="G103" s="6" t="str">
        <f t="shared" si="7"/>
        <v>pUmem_Sta_TBD_289C</v>
      </c>
      <c r="H103" s="6"/>
      <c r="I103" s="7"/>
    </row>
    <row r="104" spans="2:9" ht="17.100000000000001" customHeight="1" x14ac:dyDescent="0.3">
      <c r="B104" s="19"/>
      <c r="C104" s="17" t="s">
        <v>186</v>
      </c>
      <c r="D104" s="4">
        <v>100</v>
      </c>
      <c r="E104" s="4">
        <v>10400</v>
      </c>
      <c r="F104" s="4" t="str">
        <f t="shared" si="5"/>
        <v>28A0</v>
      </c>
      <c r="G104" s="5" t="s">
        <v>75</v>
      </c>
      <c r="H104" s="5" t="s">
        <v>2143</v>
      </c>
      <c r="I104" s="4" t="s">
        <v>14</v>
      </c>
    </row>
    <row r="105" spans="2:9" ht="17.100000000000001" customHeight="1" x14ac:dyDescent="0.3">
      <c r="B105" s="19"/>
      <c r="C105" s="17"/>
      <c r="D105" s="4">
        <v>101</v>
      </c>
      <c r="E105" s="4">
        <v>10404</v>
      </c>
      <c r="F105" s="4" t="str">
        <f t="shared" si="5"/>
        <v>28A4</v>
      </c>
      <c r="G105" s="5" t="s">
        <v>76</v>
      </c>
      <c r="H105" s="5" t="s">
        <v>2144</v>
      </c>
      <c r="I105" s="4" t="s">
        <v>14</v>
      </c>
    </row>
    <row r="106" spans="2:9" ht="17.100000000000001" customHeight="1" x14ac:dyDescent="0.3">
      <c r="B106" s="19"/>
      <c r="C106" s="17"/>
      <c r="D106" s="4">
        <v>102</v>
      </c>
      <c r="E106" s="4">
        <v>10408</v>
      </c>
      <c r="F106" s="4" t="str">
        <f t="shared" si="5"/>
        <v>28A8</v>
      </c>
      <c r="G106" s="5" t="s">
        <v>77</v>
      </c>
      <c r="H106" s="5" t="s">
        <v>2145</v>
      </c>
      <c r="I106" s="4" t="s">
        <v>15</v>
      </c>
    </row>
    <row r="107" spans="2:9" ht="17.100000000000001" customHeight="1" x14ac:dyDescent="0.3">
      <c r="B107" s="19"/>
      <c r="C107" s="17"/>
      <c r="D107" s="4">
        <v>103</v>
      </c>
      <c r="E107" s="4">
        <v>10412</v>
      </c>
      <c r="F107" s="4" t="str">
        <f t="shared" si="5"/>
        <v>28AC</v>
      </c>
      <c r="G107" s="5" t="s">
        <v>78</v>
      </c>
      <c r="H107" s="5" t="s">
        <v>2146</v>
      </c>
      <c r="I107" s="12">
        <v>1E-3</v>
      </c>
    </row>
    <row r="108" spans="2:9" ht="17.100000000000001" customHeight="1" x14ac:dyDescent="0.3">
      <c r="B108" s="19"/>
      <c r="C108" s="17"/>
      <c r="D108" s="4">
        <v>104</v>
      </c>
      <c r="E108" s="4">
        <v>10416</v>
      </c>
      <c r="F108" s="4" t="str">
        <f t="shared" si="5"/>
        <v>28B0</v>
      </c>
      <c r="G108" s="5" t="s">
        <v>79</v>
      </c>
      <c r="H108" s="5" t="s">
        <v>2147</v>
      </c>
      <c r="I108" s="4" t="s">
        <v>5</v>
      </c>
    </row>
    <row r="109" spans="2:9" ht="17.100000000000001" customHeight="1" x14ac:dyDescent="0.3">
      <c r="B109" s="19"/>
      <c r="C109" s="17"/>
      <c r="D109" s="4">
        <v>105</v>
      </c>
      <c r="E109" s="4">
        <v>10420</v>
      </c>
      <c r="F109" s="4" t="str">
        <f t="shared" si="5"/>
        <v>28B4</v>
      </c>
      <c r="G109" s="5" t="s">
        <v>231</v>
      </c>
      <c r="H109" s="5" t="s">
        <v>180</v>
      </c>
      <c r="I109" s="4" t="s">
        <v>5</v>
      </c>
    </row>
    <row r="110" spans="2:9" ht="17.100000000000001" customHeight="1" x14ac:dyDescent="0.3">
      <c r="B110" s="19"/>
      <c r="C110" s="17"/>
      <c r="D110" s="4">
        <v>106</v>
      </c>
      <c r="E110" s="4">
        <v>10424</v>
      </c>
      <c r="F110" s="4" t="str">
        <f t="shared" si="5"/>
        <v>28B8</v>
      </c>
      <c r="G110" s="5" t="s">
        <v>80</v>
      </c>
      <c r="H110" s="5" t="s">
        <v>2148</v>
      </c>
      <c r="I110" s="4" t="s">
        <v>4</v>
      </c>
    </row>
    <row r="111" spans="2:9" ht="17.100000000000001" customHeight="1" x14ac:dyDescent="0.3">
      <c r="B111" s="19"/>
      <c r="C111" s="17"/>
      <c r="D111" s="4">
        <v>107</v>
      </c>
      <c r="E111" s="4">
        <v>10428</v>
      </c>
      <c r="F111" s="4" t="str">
        <f t="shared" si="5"/>
        <v>28BC</v>
      </c>
      <c r="G111" s="5" t="s">
        <v>81</v>
      </c>
      <c r="H111" s="5" t="s">
        <v>2149</v>
      </c>
      <c r="I111" s="4" t="s">
        <v>4</v>
      </c>
    </row>
    <row r="112" spans="2:9" ht="17.100000000000001" customHeight="1" x14ac:dyDescent="0.3">
      <c r="B112" s="19"/>
      <c r="C112" s="17"/>
      <c r="D112" s="4">
        <v>108</v>
      </c>
      <c r="E112" s="4">
        <v>10432</v>
      </c>
      <c r="F112" s="4" t="str">
        <f t="shared" si="5"/>
        <v>28C0</v>
      </c>
      <c r="G112" s="5" t="s">
        <v>82</v>
      </c>
      <c r="H112" s="5" t="s">
        <v>2150</v>
      </c>
      <c r="I112" s="4" t="s">
        <v>4</v>
      </c>
    </row>
    <row r="113" spans="2:9" ht="17.100000000000001" customHeight="1" x14ac:dyDescent="0.3">
      <c r="B113" s="19"/>
      <c r="C113" s="17"/>
      <c r="D113" s="4">
        <v>109</v>
      </c>
      <c r="E113" s="4">
        <v>10436</v>
      </c>
      <c r="F113" s="4" t="str">
        <f t="shared" si="5"/>
        <v>28C4</v>
      </c>
      <c r="G113" s="5" t="s">
        <v>83</v>
      </c>
      <c r="H113" s="5" t="s">
        <v>2151</v>
      </c>
      <c r="I113" s="4" t="s">
        <v>4</v>
      </c>
    </row>
    <row r="114" spans="2:9" ht="17.100000000000001" customHeight="1" x14ac:dyDescent="0.3">
      <c r="B114" s="19"/>
      <c r="C114" s="17"/>
      <c r="D114" s="4">
        <v>110</v>
      </c>
      <c r="E114" s="4">
        <v>10440</v>
      </c>
      <c r="F114" s="4" t="str">
        <f t="shared" si="5"/>
        <v>28C8</v>
      </c>
      <c r="G114" s="5" t="s">
        <v>84</v>
      </c>
      <c r="H114" s="5" t="s">
        <v>2152</v>
      </c>
      <c r="I114" s="4" t="s">
        <v>4</v>
      </c>
    </row>
    <row r="115" spans="2:9" ht="17.100000000000001" customHeight="1" x14ac:dyDescent="0.3">
      <c r="B115" s="19"/>
      <c r="C115" s="17"/>
      <c r="D115" s="4">
        <v>111</v>
      </c>
      <c r="E115" s="4">
        <v>10444</v>
      </c>
      <c r="F115" s="4" t="str">
        <f t="shared" si="5"/>
        <v>28CC</v>
      </c>
      <c r="G115" s="5" t="s">
        <v>85</v>
      </c>
      <c r="H115" s="5" t="s">
        <v>2153</v>
      </c>
      <c r="I115" s="4" t="s">
        <v>4</v>
      </c>
    </row>
    <row r="116" spans="2:9" ht="17.100000000000001" customHeight="1" x14ac:dyDescent="0.3">
      <c r="B116" s="19"/>
      <c r="C116" s="17"/>
      <c r="D116" s="4">
        <v>112</v>
      </c>
      <c r="E116" s="4">
        <v>10448</v>
      </c>
      <c r="F116" s="4" t="str">
        <f t="shared" si="5"/>
        <v>28D0</v>
      </c>
      <c r="G116" s="5" t="s">
        <v>86</v>
      </c>
      <c r="H116" s="5" t="s">
        <v>2154</v>
      </c>
      <c r="I116" s="4" t="s">
        <v>4</v>
      </c>
    </row>
    <row r="117" spans="2:9" ht="17.100000000000001" customHeight="1" x14ac:dyDescent="0.3">
      <c r="B117" s="19"/>
      <c r="C117" s="17"/>
      <c r="D117" s="4">
        <v>113</v>
      </c>
      <c r="E117" s="4">
        <v>10452</v>
      </c>
      <c r="F117" s="4" t="str">
        <f t="shared" si="5"/>
        <v>28D4</v>
      </c>
      <c r="G117" s="5" t="s">
        <v>232</v>
      </c>
      <c r="H117" s="5" t="s">
        <v>2155</v>
      </c>
      <c r="I117" s="4" t="s">
        <v>4</v>
      </c>
    </row>
    <row r="118" spans="2:9" ht="17.100000000000001" customHeight="1" x14ac:dyDescent="0.3">
      <c r="B118" s="19"/>
      <c r="C118" s="17"/>
      <c r="D118" s="4">
        <v>114</v>
      </c>
      <c r="E118" s="4">
        <v>10456</v>
      </c>
      <c r="F118" s="4" t="str">
        <f t="shared" si="5"/>
        <v>28D8</v>
      </c>
      <c r="G118" s="5" t="s">
        <v>233</v>
      </c>
      <c r="H118" s="5" t="s">
        <v>2156</v>
      </c>
      <c r="I118" s="4" t="s">
        <v>4</v>
      </c>
    </row>
    <row r="119" spans="2:9" ht="17.100000000000001" customHeight="1" x14ac:dyDescent="0.3">
      <c r="B119" s="19"/>
      <c r="C119" s="17"/>
      <c r="D119" s="4">
        <v>115</v>
      </c>
      <c r="E119" s="4">
        <v>10460</v>
      </c>
      <c r="F119" s="4" t="str">
        <f t="shared" si="5"/>
        <v>28DC</v>
      </c>
      <c r="G119" s="6" t="str">
        <f t="shared" ref="G119:G123" si="8">"pUmem_Sta_TBD_"&amp;F119</f>
        <v>pUmem_Sta_TBD_28DC</v>
      </c>
      <c r="H119" s="6"/>
      <c r="I119" s="7"/>
    </row>
    <row r="120" spans="2:9" ht="17.100000000000001" customHeight="1" x14ac:dyDescent="0.3">
      <c r="B120" s="19"/>
      <c r="C120" s="17"/>
      <c r="D120" s="4">
        <v>116</v>
      </c>
      <c r="E120" s="4">
        <v>10464</v>
      </c>
      <c r="F120" s="4" t="str">
        <f t="shared" si="5"/>
        <v>28E0</v>
      </c>
      <c r="G120" s="6" t="str">
        <f t="shared" si="8"/>
        <v>pUmem_Sta_TBD_28E0</v>
      </c>
      <c r="H120" s="6"/>
      <c r="I120" s="7"/>
    </row>
    <row r="121" spans="2:9" ht="17.100000000000001" customHeight="1" x14ac:dyDescent="0.3">
      <c r="B121" s="19"/>
      <c r="C121" s="17"/>
      <c r="D121" s="4">
        <v>117</v>
      </c>
      <c r="E121" s="4">
        <v>10468</v>
      </c>
      <c r="F121" s="4" t="str">
        <f t="shared" si="5"/>
        <v>28E4</v>
      </c>
      <c r="G121" s="6" t="str">
        <f t="shared" si="8"/>
        <v>pUmem_Sta_TBD_28E4</v>
      </c>
      <c r="H121" s="6"/>
      <c r="I121" s="7"/>
    </row>
    <row r="122" spans="2:9" ht="17.100000000000001" customHeight="1" x14ac:dyDescent="0.3">
      <c r="B122" s="19"/>
      <c r="C122" s="17"/>
      <c r="D122" s="4">
        <v>118</v>
      </c>
      <c r="E122" s="4">
        <v>10472</v>
      </c>
      <c r="F122" s="4" t="str">
        <f t="shared" si="5"/>
        <v>28E8</v>
      </c>
      <c r="G122" s="6" t="str">
        <f t="shared" si="8"/>
        <v>pUmem_Sta_TBD_28E8</v>
      </c>
      <c r="H122" s="6"/>
      <c r="I122" s="7"/>
    </row>
    <row r="123" spans="2:9" ht="17.100000000000001" customHeight="1" x14ac:dyDescent="0.3">
      <c r="B123" s="19"/>
      <c r="C123" s="17"/>
      <c r="D123" s="4">
        <v>119</v>
      </c>
      <c r="E123" s="4">
        <v>10476</v>
      </c>
      <c r="F123" s="4" t="str">
        <f t="shared" si="5"/>
        <v>28EC</v>
      </c>
      <c r="G123" s="6" t="str">
        <f t="shared" si="8"/>
        <v>pUmem_Sta_TBD_28EC</v>
      </c>
      <c r="H123" s="6"/>
      <c r="I123" s="7"/>
    </row>
    <row r="124" spans="2:9" ht="17.100000000000001" customHeight="1" x14ac:dyDescent="0.3">
      <c r="B124" s="19"/>
      <c r="C124" s="17" t="s">
        <v>187</v>
      </c>
      <c r="D124" s="4">
        <v>120</v>
      </c>
      <c r="E124" s="4">
        <v>10480</v>
      </c>
      <c r="F124" s="4" t="str">
        <f t="shared" si="5"/>
        <v>28F0</v>
      </c>
      <c r="G124" s="5" t="s">
        <v>234</v>
      </c>
      <c r="H124" s="5" t="s">
        <v>2143</v>
      </c>
      <c r="I124" s="4" t="s">
        <v>14</v>
      </c>
    </row>
    <row r="125" spans="2:9" ht="17.100000000000001" customHeight="1" x14ac:dyDescent="0.3">
      <c r="B125" s="19"/>
      <c r="C125" s="17"/>
      <c r="D125" s="4">
        <v>121</v>
      </c>
      <c r="E125" s="4">
        <v>10484</v>
      </c>
      <c r="F125" s="4" t="str">
        <f t="shared" si="5"/>
        <v>28F4</v>
      </c>
      <c r="G125" s="5" t="s">
        <v>235</v>
      </c>
      <c r="H125" s="5" t="s">
        <v>2144</v>
      </c>
      <c r="I125" s="4" t="s">
        <v>14</v>
      </c>
    </row>
    <row r="126" spans="2:9" ht="17.100000000000001" customHeight="1" x14ac:dyDescent="0.3">
      <c r="B126" s="19"/>
      <c r="C126" s="17"/>
      <c r="D126" s="4">
        <v>122</v>
      </c>
      <c r="E126" s="4">
        <v>10488</v>
      </c>
      <c r="F126" s="4" t="str">
        <f t="shared" si="5"/>
        <v>28F8</v>
      </c>
      <c r="G126" s="5" t="s">
        <v>236</v>
      </c>
      <c r="H126" s="5" t="s">
        <v>2145</v>
      </c>
      <c r="I126" s="4" t="s">
        <v>15</v>
      </c>
    </row>
    <row r="127" spans="2:9" ht="17.100000000000001" customHeight="1" x14ac:dyDescent="0.3">
      <c r="B127" s="19"/>
      <c r="C127" s="17"/>
      <c r="D127" s="4">
        <v>123</v>
      </c>
      <c r="E127" s="4">
        <v>10492</v>
      </c>
      <c r="F127" s="4" t="str">
        <f t="shared" si="5"/>
        <v>28FC</v>
      </c>
      <c r="G127" s="5" t="s">
        <v>237</v>
      </c>
      <c r="H127" s="5" t="s">
        <v>2146</v>
      </c>
      <c r="I127" s="12">
        <v>1E-3</v>
      </c>
    </row>
    <row r="128" spans="2:9" ht="17.100000000000001" customHeight="1" x14ac:dyDescent="0.3">
      <c r="B128" s="19"/>
      <c r="C128" s="17"/>
      <c r="D128" s="4">
        <v>124</v>
      </c>
      <c r="E128" s="4">
        <v>10496</v>
      </c>
      <c r="F128" s="4" t="str">
        <f t="shared" si="5"/>
        <v>2900</v>
      </c>
      <c r="G128" s="5" t="s">
        <v>238</v>
      </c>
      <c r="H128" s="5" t="s">
        <v>2147</v>
      </c>
      <c r="I128" s="4" t="s">
        <v>5</v>
      </c>
    </row>
    <row r="129" spans="2:9" ht="17.100000000000001" customHeight="1" x14ac:dyDescent="0.3">
      <c r="B129" s="19"/>
      <c r="C129" s="17"/>
      <c r="D129" s="4">
        <v>125</v>
      </c>
      <c r="E129" s="4">
        <v>10500</v>
      </c>
      <c r="F129" s="4" t="str">
        <f t="shared" si="5"/>
        <v>2904</v>
      </c>
      <c r="G129" s="5" t="s">
        <v>239</v>
      </c>
      <c r="H129" s="5" t="s">
        <v>180</v>
      </c>
      <c r="I129" s="4" t="s">
        <v>5</v>
      </c>
    </row>
    <row r="130" spans="2:9" ht="17.100000000000001" customHeight="1" x14ac:dyDescent="0.3">
      <c r="B130" s="19"/>
      <c r="C130" s="17"/>
      <c r="D130" s="4">
        <v>126</v>
      </c>
      <c r="E130" s="4">
        <v>10504</v>
      </c>
      <c r="F130" s="4" t="str">
        <f t="shared" si="5"/>
        <v>2908</v>
      </c>
      <c r="G130" s="5" t="s">
        <v>240</v>
      </c>
      <c r="H130" s="5" t="s">
        <v>2148</v>
      </c>
      <c r="I130" s="4" t="s">
        <v>4</v>
      </c>
    </row>
    <row r="131" spans="2:9" ht="17.100000000000001" customHeight="1" x14ac:dyDescent="0.3">
      <c r="B131" s="19"/>
      <c r="C131" s="17"/>
      <c r="D131" s="4">
        <v>127</v>
      </c>
      <c r="E131" s="4">
        <v>10508</v>
      </c>
      <c r="F131" s="4" t="str">
        <f t="shared" si="5"/>
        <v>290C</v>
      </c>
      <c r="G131" s="5" t="s">
        <v>241</v>
      </c>
      <c r="H131" s="5" t="s">
        <v>2149</v>
      </c>
      <c r="I131" s="4" t="s">
        <v>4</v>
      </c>
    </row>
    <row r="132" spans="2:9" ht="17.100000000000001" customHeight="1" x14ac:dyDescent="0.3">
      <c r="B132" s="19"/>
      <c r="C132" s="17"/>
      <c r="D132" s="4">
        <v>128</v>
      </c>
      <c r="E132" s="4">
        <v>10512</v>
      </c>
      <c r="F132" s="4" t="str">
        <f t="shared" si="5"/>
        <v>2910</v>
      </c>
      <c r="G132" s="5" t="s">
        <v>242</v>
      </c>
      <c r="H132" s="5" t="s">
        <v>2150</v>
      </c>
      <c r="I132" s="4" t="s">
        <v>4</v>
      </c>
    </row>
    <row r="133" spans="2:9" ht="17.100000000000001" customHeight="1" x14ac:dyDescent="0.3">
      <c r="B133" s="19"/>
      <c r="C133" s="17"/>
      <c r="D133" s="4">
        <v>129</v>
      </c>
      <c r="E133" s="4">
        <v>10516</v>
      </c>
      <c r="F133" s="4" t="str">
        <f t="shared" si="5"/>
        <v>2914</v>
      </c>
      <c r="G133" s="5" t="s">
        <v>243</v>
      </c>
      <c r="H133" s="5" t="s">
        <v>2151</v>
      </c>
      <c r="I133" s="4" t="s">
        <v>4</v>
      </c>
    </row>
    <row r="134" spans="2:9" ht="17.100000000000001" customHeight="1" x14ac:dyDescent="0.3">
      <c r="B134" s="19"/>
      <c r="C134" s="17"/>
      <c r="D134" s="4">
        <v>130</v>
      </c>
      <c r="E134" s="4">
        <v>10520</v>
      </c>
      <c r="F134" s="4" t="str">
        <f t="shared" si="5"/>
        <v>2918</v>
      </c>
      <c r="G134" s="5" t="s">
        <v>244</v>
      </c>
      <c r="H134" s="5" t="s">
        <v>2152</v>
      </c>
      <c r="I134" s="4" t="s">
        <v>4</v>
      </c>
    </row>
    <row r="135" spans="2:9" ht="17.100000000000001" customHeight="1" x14ac:dyDescent="0.3">
      <c r="B135" s="19"/>
      <c r="C135" s="17"/>
      <c r="D135" s="4">
        <v>131</v>
      </c>
      <c r="E135" s="4">
        <v>10524</v>
      </c>
      <c r="F135" s="4" t="str">
        <f t="shared" ref="F135:F198" si="9">DEC2HEX(E135)</f>
        <v>291C</v>
      </c>
      <c r="G135" s="5" t="s">
        <v>245</v>
      </c>
      <c r="H135" s="5" t="s">
        <v>2153</v>
      </c>
      <c r="I135" s="4" t="s">
        <v>4</v>
      </c>
    </row>
    <row r="136" spans="2:9" ht="17.100000000000001" customHeight="1" x14ac:dyDescent="0.3">
      <c r="B136" s="19"/>
      <c r="C136" s="17"/>
      <c r="D136" s="4">
        <v>132</v>
      </c>
      <c r="E136" s="4">
        <v>10528</v>
      </c>
      <c r="F136" s="4" t="str">
        <f t="shared" si="9"/>
        <v>2920</v>
      </c>
      <c r="G136" s="5" t="s">
        <v>246</v>
      </c>
      <c r="H136" s="5" t="s">
        <v>2154</v>
      </c>
      <c r="I136" s="4" t="s">
        <v>4</v>
      </c>
    </row>
    <row r="137" spans="2:9" ht="17.100000000000001" customHeight="1" x14ac:dyDescent="0.3">
      <c r="B137" s="19"/>
      <c r="C137" s="17"/>
      <c r="D137" s="4">
        <v>133</v>
      </c>
      <c r="E137" s="4">
        <v>10532</v>
      </c>
      <c r="F137" s="4" t="str">
        <f t="shared" si="9"/>
        <v>2924</v>
      </c>
      <c r="G137" s="5" t="s">
        <v>247</v>
      </c>
      <c r="H137" s="5" t="s">
        <v>2155</v>
      </c>
      <c r="I137" s="4" t="s">
        <v>4</v>
      </c>
    </row>
    <row r="138" spans="2:9" ht="17.100000000000001" customHeight="1" x14ac:dyDescent="0.3">
      <c r="B138" s="19"/>
      <c r="C138" s="17"/>
      <c r="D138" s="4">
        <v>134</v>
      </c>
      <c r="E138" s="4">
        <v>10536</v>
      </c>
      <c r="F138" s="4" t="str">
        <f t="shared" si="9"/>
        <v>2928</v>
      </c>
      <c r="G138" s="5" t="s">
        <v>248</v>
      </c>
      <c r="H138" s="5" t="s">
        <v>2156</v>
      </c>
      <c r="I138" s="4" t="s">
        <v>4</v>
      </c>
    </row>
    <row r="139" spans="2:9" ht="17.100000000000001" customHeight="1" x14ac:dyDescent="0.3">
      <c r="B139" s="19"/>
      <c r="C139" s="17"/>
      <c r="D139" s="4">
        <v>135</v>
      </c>
      <c r="E139" s="4">
        <v>10540</v>
      </c>
      <c r="F139" s="4" t="str">
        <f t="shared" si="9"/>
        <v>292C</v>
      </c>
      <c r="G139" s="6" t="str">
        <f t="shared" ref="G139:G143" si="10">"pUmem_Sta_TBD_"&amp;F139</f>
        <v>pUmem_Sta_TBD_292C</v>
      </c>
      <c r="H139" s="6"/>
      <c r="I139" s="7"/>
    </row>
    <row r="140" spans="2:9" ht="17.100000000000001" customHeight="1" x14ac:dyDescent="0.3">
      <c r="B140" s="19"/>
      <c r="C140" s="17"/>
      <c r="D140" s="4">
        <v>136</v>
      </c>
      <c r="E140" s="4">
        <v>10544</v>
      </c>
      <c r="F140" s="4" t="str">
        <f t="shared" si="9"/>
        <v>2930</v>
      </c>
      <c r="G140" s="6" t="str">
        <f t="shared" si="10"/>
        <v>pUmem_Sta_TBD_2930</v>
      </c>
      <c r="H140" s="6"/>
      <c r="I140" s="7"/>
    </row>
    <row r="141" spans="2:9" ht="17.100000000000001" customHeight="1" x14ac:dyDescent="0.3">
      <c r="B141" s="19"/>
      <c r="C141" s="17"/>
      <c r="D141" s="4">
        <v>137</v>
      </c>
      <c r="E141" s="4">
        <v>10548</v>
      </c>
      <c r="F141" s="4" t="str">
        <f t="shared" si="9"/>
        <v>2934</v>
      </c>
      <c r="G141" s="6" t="str">
        <f t="shared" si="10"/>
        <v>pUmem_Sta_TBD_2934</v>
      </c>
      <c r="H141" s="6"/>
      <c r="I141" s="7"/>
    </row>
    <row r="142" spans="2:9" ht="17.100000000000001" customHeight="1" x14ac:dyDescent="0.3">
      <c r="B142" s="19"/>
      <c r="C142" s="17"/>
      <c r="D142" s="4">
        <v>138</v>
      </c>
      <c r="E142" s="4">
        <v>10552</v>
      </c>
      <c r="F142" s="4" t="str">
        <f t="shared" si="9"/>
        <v>2938</v>
      </c>
      <c r="G142" s="6" t="str">
        <f t="shared" si="10"/>
        <v>pUmem_Sta_TBD_2938</v>
      </c>
      <c r="H142" s="6"/>
      <c r="I142" s="7"/>
    </row>
    <row r="143" spans="2:9" ht="17.100000000000001" customHeight="1" x14ac:dyDescent="0.3">
      <c r="B143" s="19"/>
      <c r="C143" s="17"/>
      <c r="D143" s="4">
        <v>139</v>
      </c>
      <c r="E143" s="4">
        <v>10556</v>
      </c>
      <c r="F143" s="4" t="str">
        <f t="shared" si="9"/>
        <v>293C</v>
      </c>
      <c r="G143" s="6" t="str">
        <f t="shared" si="10"/>
        <v>pUmem_Sta_TBD_293C</v>
      </c>
      <c r="H143" s="6"/>
      <c r="I143" s="7"/>
    </row>
    <row r="144" spans="2:9" ht="17.100000000000001" customHeight="1" x14ac:dyDescent="0.3">
      <c r="B144" s="19"/>
      <c r="C144" s="17" t="s">
        <v>188</v>
      </c>
      <c r="D144" s="4">
        <v>140</v>
      </c>
      <c r="E144" s="4">
        <v>10560</v>
      </c>
      <c r="F144" s="4" t="str">
        <f t="shared" si="9"/>
        <v>2940</v>
      </c>
      <c r="G144" s="5" t="s">
        <v>249</v>
      </c>
      <c r="H144" s="5" t="s">
        <v>2143</v>
      </c>
      <c r="I144" s="4" t="s">
        <v>14</v>
      </c>
    </row>
    <row r="145" spans="2:9" ht="17.100000000000001" customHeight="1" x14ac:dyDescent="0.3">
      <c r="B145" s="19"/>
      <c r="C145" s="17"/>
      <c r="D145" s="4">
        <v>141</v>
      </c>
      <c r="E145" s="4">
        <v>10564</v>
      </c>
      <c r="F145" s="4" t="str">
        <f t="shared" si="9"/>
        <v>2944</v>
      </c>
      <c r="G145" s="5" t="s">
        <v>250</v>
      </c>
      <c r="H145" s="5" t="s">
        <v>2144</v>
      </c>
      <c r="I145" s="4" t="s">
        <v>14</v>
      </c>
    </row>
    <row r="146" spans="2:9" ht="17.100000000000001" customHeight="1" x14ac:dyDescent="0.3">
      <c r="B146" s="19"/>
      <c r="C146" s="17"/>
      <c r="D146" s="4">
        <v>142</v>
      </c>
      <c r="E146" s="4">
        <v>10568</v>
      </c>
      <c r="F146" s="4" t="str">
        <f t="shared" si="9"/>
        <v>2948</v>
      </c>
      <c r="G146" s="5" t="s">
        <v>251</v>
      </c>
      <c r="H146" s="5" t="s">
        <v>2145</v>
      </c>
      <c r="I146" s="4" t="s">
        <v>15</v>
      </c>
    </row>
    <row r="147" spans="2:9" ht="17.100000000000001" customHeight="1" x14ac:dyDescent="0.3">
      <c r="B147" s="19"/>
      <c r="C147" s="17"/>
      <c r="D147" s="4">
        <v>143</v>
      </c>
      <c r="E147" s="4">
        <v>10572</v>
      </c>
      <c r="F147" s="4" t="str">
        <f t="shared" si="9"/>
        <v>294C</v>
      </c>
      <c r="G147" s="5" t="s">
        <v>252</v>
      </c>
      <c r="H147" s="5" t="s">
        <v>2146</v>
      </c>
      <c r="I147" s="12">
        <v>1E-3</v>
      </c>
    </row>
    <row r="148" spans="2:9" ht="17.100000000000001" customHeight="1" x14ac:dyDescent="0.3">
      <c r="B148" s="19"/>
      <c r="C148" s="17"/>
      <c r="D148" s="4">
        <v>144</v>
      </c>
      <c r="E148" s="4">
        <v>10576</v>
      </c>
      <c r="F148" s="4" t="str">
        <f t="shared" si="9"/>
        <v>2950</v>
      </c>
      <c r="G148" s="5" t="s">
        <v>253</v>
      </c>
      <c r="H148" s="5" t="s">
        <v>2147</v>
      </c>
      <c r="I148" s="4" t="s">
        <v>5</v>
      </c>
    </row>
    <row r="149" spans="2:9" ht="17.100000000000001" customHeight="1" x14ac:dyDescent="0.3">
      <c r="B149" s="19"/>
      <c r="C149" s="17"/>
      <c r="D149" s="4">
        <v>145</v>
      </c>
      <c r="E149" s="4">
        <v>10580</v>
      </c>
      <c r="F149" s="4" t="str">
        <f t="shared" si="9"/>
        <v>2954</v>
      </c>
      <c r="G149" s="5" t="s">
        <v>254</v>
      </c>
      <c r="H149" s="5" t="s">
        <v>180</v>
      </c>
      <c r="I149" s="4" t="s">
        <v>5</v>
      </c>
    </row>
    <row r="150" spans="2:9" ht="17.100000000000001" customHeight="1" x14ac:dyDescent="0.3">
      <c r="B150" s="19"/>
      <c r="C150" s="17"/>
      <c r="D150" s="4">
        <v>146</v>
      </c>
      <c r="E150" s="4">
        <v>10584</v>
      </c>
      <c r="F150" s="4" t="str">
        <f t="shared" si="9"/>
        <v>2958</v>
      </c>
      <c r="G150" s="5" t="s">
        <v>255</v>
      </c>
      <c r="H150" s="5" t="s">
        <v>2148</v>
      </c>
      <c r="I150" s="4" t="s">
        <v>4</v>
      </c>
    </row>
    <row r="151" spans="2:9" ht="17.100000000000001" customHeight="1" x14ac:dyDescent="0.3">
      <c r="B151" s="19"/>
      <c r="C151" s="17"/>
      <c r="D151" s="4">
        <v>147</v>
      </c>
      <c r="E151" s="4">
        <v>10588</v>
      </c>
      <c r="F151" s="4" t="str">
        <f t="shared" si="9"/>
        <v>295C</v>
      </c>
      <c r="G151" s="5" t="s">
        <v>256</v>
      </c>
      <c r="H151" s="5" t="s">
        <v>2149</v>
      </c>
      <c r="I151" s="4" t="s">
        <v>4</v>
      </c>
    </row>
    <row r="152" spans="2:9" ht="17.100000000000001" customHeight="1" x14ac:dyDescent="0.3">
      <c r="B152" s="19"/>
      <c r="C152" s="17"/>
      <c r="D152" s="4">
        <v>148</v>
      </c>
      <c r="E152" s="4">
        <v>10592</v>
      </c>
      <c r="F152" s="4" t="str">
        <f t="shared" si="9"/>
        <v>2960</v>
      </c>
      <c r="G152" s="5" t="s">
        <v>257</v>
      </c>
      <c r="H152" s="5" t="s">
        <v>2150</v>
      </c>
      <c r="I152" s="4" t="s">
        <v>4</v>
      </c>
    </row>
    <row r="153" spans="2:9" ht="17.100000000000001" customHeight="1" x14ac:dyDescent="0.3">
      <c r="B153" s="19"/>
      <c r="C153" s="17"/>
      <c r="D153" s="4">
        <v>149</v>
      </c>
      <c r="E153" s="4">
        <v>10596</v>
      </c>
      <c r="F153" s="4" t="str">
        <f t="shared" si="9"/>
        <v>2964</v>
      </c>
      <c r="G153" s="5" t="s">
        <v>258</v>
      </c>
      <c r="H153" s="5" t="s">
        <v>2151</v>
      </c>
      <c r="I153" s="4" t="s">
        <v>4</v>
      </c>
    </row>
    <row r="154" spans="2:9" ht="17.100000000000001" customHeight="1" x14ac:dyDescent="0.3">
      <c r="B154" s="19"/>
      <c r="C154" s="17"/>
      <c r="D154" s="4">
        <v>150</v>
      </c>
      <c r="E154" s="4">
        <v>10600</v>
      </c>
      <c r="F154" s="4" t="str">
        <f t="shared" si="9"/>
        <v>2968</v>
      </c>
      <c r="G154" s="5" t="s">
        <v>259</v>
      </c>
      <c r="H154" s="5" t="s">
        <v>2152</v>
      </c>
      <c r="I154" s="4" t="s">
        <v>4</v>
      </c>
    </row>
    <row r="155" spans="2:9" ht="17.100000000000001" customHeight="1" x14ac:dyDescent="0.3">
      <c r="B155" s="19"/>
      <c r="C155" s="17"/>
      <c r="D155" s="4">
        <v>151</v>
      </c>
      <c r="E155" s="4">
        <v>10604</v>
      </c>
      <c r="F155" s="4" t="str">
        <f t="shared" si="9"/>
        <v>296C</v>
      </c>
      <c r="G155" s="5" t="s">
        <v>260</v>
      </c>
      <c r="H155" s="5" t="s">
        <v>2153</v>
      </c>
      <c r="I155" s="4" t="s">
        <v>4</v>
      </c>
    </row>
    <row r="156" spans="2:9" ht="17.100000000000001" customHeight="1" x14ac:dyDescent="0.3">
      <c r="B156" s="19"/>
      <c r="C156" s="17"/>
      <c r="D156" s="4">
        <v>152</v>
      </c>
      <c r="E156" s="4">
        <v>10608</v>
      </c>
      <c r="F156" s="4" t="str">
        <f t="shared" si="9"/>
        <v>2970</v>
      </c>
      <c r="G156" s="5" t="s">
        <v>261</v>
      </c>
      <c r="H156" s="5" t="s">
        <v>2154</v>
      </c>
      <c r="I156" s="4" t="s">
        <v>4</v>
      </c>
    </row>
    <row r="157" spans="2:9" ht="17.100000000000001" customHeight="1" x14ac:dyDescent="0.3">
      <c r="B157" s="19"/>
      <c r="C157" s="17"/>
      <c r="D157" s="4">
        <v>153</v>
      </c>
      <c r="E157" s="4">
        <v>10612</v>
      </c>
      <c r="F157" s="4" t="str">
        <f t="shared" si="9"/>
        <v>2974</v>
      </c>
      <c r="G157" s="5" t="s">
        <v>262</v>
      </c>
      <c r="H157" s="5" t="s">
        <v>2155</v>
      </c>
      <c r="I157" s="4" t="s">
        <v>4</v>
      </c>
    </row>
    <row r="158" spans="2:9" ht="17.100000000000001" customHeight="1" x14ac:dyDescent="0.3">
      <c r="B158" s="19"/>
      <c r="C158" s="17"/>
      <c r="D158" s="4">
        <v>154</v>
      </c>
      <c r="E158" s="4">
        <v>10616</v>
      </c>
      <c r="F158" s="4" t="str">
        <f t="shared" si="9"/>
        <v>2978</v>
      </c>
      <c r="G158" s="5" t="s">
        <v>263</v>
      </c>
      <c r="H158" s="5" t="s">
        <v>2156</v>
      </c>
      <c r="I158" s="4" t="s">
        <v>4</v>
      </c>
    </row>
    <row r="159" spans="2:9" ht="17.100000000000001" customHeight="1" x14ac:dyDescent="0.3">
      <c r="B159" s="19"/>
      <c r="C159" s="17"/>
      <c r="D159" s="4">
        <v>155</v>
      </c>
      <c r="E159" s="4">
        <v>10620</v>
      </c>
      <c r="F159" s="4" t="str">
        <f t="shared" si="9"/>
        <v>297C</v>
      </c>
      <c r="G159" s="6" t="str">
        <f t="shared" ref="G159:G163" si="11">"pUmem_Sta_TBD_"&amp;F159</f>
        <v>pUmem_Sta_TBD_297C</v>
      </c>
      <c r="H159" s="6"/>
      <c r="I159" s="7"/>
    </row>
    <row r="160" spans="2:9" ht="17.100000000000001" customHeight="1" x14ac:dyDescent="0.3">
      <c r="B160" s="19"/>
      <c r="C160" s="17"/>
      <c r="D160" s="4">
        <v>156</v>
      </c>
      <c r="E160" s="4">
        <v>10624</v>
      </c>
      <c r="F160" s="4" t="str">
        <f t="shared" si="9"/>
        <v>2980</v>
      </c>
      <c r="G160" s="6" t="str">
        <f t="shared" si="11"/>
        <v>pUmem_Sta_TBD_2980</v>
      </c>
      <c r="H160" s="6"/>
      <c r="I160" s="7"/>
    </row>
    <row r="161" spans="2:9" ht="17.100000000000001" customHeight="1" x14ac:dyDescent="0.3">
      <c r="B161" s="19"/>
      <c r="C161" s="17"/>
      <c r="D161" s="4">
        <v>157</v>
      </c>
      <c r="E161" s="4">
        <v>10628</v>
      </c>
      <c r="F161" s="4" t="str">
        <f t="shared" si="9"/>
        <v>2984</v>
      </c>
      <c r="G161" s="6" t="str">
        <f t="shared" si="11"/>
        <v>pUmem_Sta_TBD_2984</v>
      </c>
      <c r="H161" s="6"/>
      <c r="I161" s="7"/>
    </row>
    <row r="162" spans="2:9" ht="17.100000000000001" customHeight="1" x14ac:dyDescent="0.3">
      <c r="B162" s="19"/>
      <c r="C162" s="17"/>
      <c r="D162" s="4">
        <v>158</v>
      </c>
      <c r="E162" s="4">
        <v>10632</v>
      </c>
      <c r="F162" s="4" t="str">
        <f t="shared" si="9"/>
        <v>2988</v>
      </c>
      <c r="G162" s="6" t="str">
        <f t="shared" si="11"/>
        <v>pUmem_Sta_TBD_2988</v>
      </c>
      <c r="H162" s="6"/>
      <c r="I162" s="7"/>
    </row>
    <row r="163" spans="2:9" ht="17.100000000000001" customHeight="1" x14ac:dyDescent="0.3">
      <c r="B163" s="19"/>
      <c r="C163" s="17"/>
      <c r="D163" s="4">
        <v>159</v>
      </c>
      <c r="E163" s="4">
        <v>10636</v>
      </c>
      <c r="F163" s="4" t="str">
        <f t="shared" si="9"/>
        <v>298C</v>
      </c>
      <c r="G163" s="6" t="str">
        <f t="shared" si="11"/>
        <v>pUmem_Sta_TBD_298C</v>
      </c>
      <c r="H163" s="6"/>
      <c r="I163" s="7"/>
    </row>
    <row r="164" spans="2:9" ht="17.100000000000001" customHeight="1" x14ac:dyDescent="0.3">
      <c r="B164" s="19"/>
      <c r="C164" s="17" t="s">
        <v>283</v>
      </c>
      <c r="D164" s="4">
        <v>160</v>
      </c>
      <c r="E164" s="4">
        <v>10640</v>
      </c>
      <c r="F164" s="4" t="str">
        <f t="shared" si="9"/>
        <v>2990</v>
      </c>
      <c r="G164" s="5" t="s">
        <v>667</v>
      </c>
      <c r="H164" s="5" t="s">
        <v>2143</v>
      </c>
      <c r="I164" s="4" t="s">
        <v>14</v>
      </c>
    </row>
    <row r="165" spans="2:9" ht="17.100000000000001" customHeight="1" x14ac:dyDescent="0.3">
      <c r="B165" s="19"/>
      <c r="C165" s="17"/>
      <c r="D165" s="4">
        <v>161</v>
      </c>
      <c r="E165" s="4">
        <v>10644</v>
      </c>
      <c r="F165" s="4" t="str">
        <f t="shared" si="9"/>
        <v>2994</v>
      </c>
      <c r="G165" s="5" t="s">
        <v>668</v>
      </c>
      <c r="H165" s="5" t="s">
        <v>2144</v>
      </c>
      <c r="I165" s="4" t="s">
        <v>14</v>
      </c>
    </row>
    <row r="166" spans="2:9" ht="17.100000000000001" customHeight="1" x14ac:dyDescent="0.3">
      <c r="B166" s="19"/>
      <c r="C166" s="17"/>
      <c r="D166" s="4">
        <v>162</v>
      </c>
      <c r="E166" s="4">
        <v>10648</v>
      </c>
      <c r="F166" s="4" t="str">
        <f t="shared" si="9"/>
        <v>2998</v>
      </c>
      <c r="G166" s="5" t="s">
        <v>669</v>
      </c>
      <c r="H166" s="5" t="s">
        <v>2145</v>
      </c>
      <c r="I166" s="4" t="s">
        <v>15</v>
      </c>
    </row>
    <row r="167" spans="2:9" ht="17.100000000000001" customHeight="1" x14ac:dyDescent="0.3">
      <c r="B167" s="19"/>
      <c r="C167" s="17"/>
      <c r="D167" s="4">
        <v>163</v>
      </c>
      <c r="E167" s="4">
        <v>10652</v>
      </c>
      <c r="F167" s="4" t="str">
        <f t="shared" si="9"/>
        <v>299C</v>
      </c>
      <c r="G167" s="5" t="s">
        <v>670</v>
      </c>
      <c r="H167" s="5" t="s">
        <v>2146</v>
      </c>
      <c r="I167" s="12">
        <v>1E-3</v>
      </c>
    </row>
    <row r="168" spans="2:9" ht="17.100000000000001" customHeight="1" x14ac:dyDescent="0.3">
      <c r="B168" s="19"/>
      <c r="C168" s="17"/>
      <c r="D168" s="4">
        <v>164</v>
      </c>
      <c r="E168" s="4">
        <v>10656</v>
      </c>
      <c r="F168" s="4" t="str">
        <f t="shared" si="9"/>
        <v>29A0</v>
      </c>
      <c r="G168" s="5" t="s">
        <v>671</v>
      </c>
      <c r="H168" s="5" t="s">
        <v>2147</v>
      </c>
      <c r="I168" s="4" t="s">
        <v>5</v>
      </c>
    </row>
    <row r="169" spans="2:9" ht="17.100000000000001" customHeight="1" x14ac:dyDescent="0.3">
      <c r="B169" s="19"/>
      <c r="C169" s="17"/>
      <c r="D169" s="4">
        <v>165</v>
      </c>
      <c r="E169" s="4">
        <v>10660</v>
      </c>
      <c r="F169" s="4" t="str">
        <f t="shared" si="9"/>
        <v>29A4</v>
      </c>
      <c r="G169" s="5" t="s">
        <v>672</v>
      </c>
      <c r="H169" s="5" t="s">
        <v>180</v>
      </c>
      <c r="I169" s="4" t="s">
        <v>5</v>
      </c>
    </row>
    <row r="170" spans="2:9" ht="17.100000000000001" customHeight="1" x14ac:dyDescent="0.3">
      <c r="B170" s="19"/>
      <c r="C170" s="17"/>
      <c r="D170" s="4">
        <v>166</v>
      </c>
      <c r="E170" s="4">
        <v>10664</v>
      </c>
      <c r="F170" s="4" t="str">
        <f t="shared" si="9"/>
        <v>29A8</v>
      </c>
      <c r="G170" s="5" t="s">
        <v>673</v>
      </c>
      <c r="H170" s="5" t="s">
        <v>2148</v>
      </c>
      <c r="I170" s="4" t="s">
        <v>4</v>
      </c>
    </row>
    <row r="171" spans="2:9" ht="17.100000000000001" customHeight="1" x14ac:dyDescent="0.3">
      <c r="B171" s="19"/>
      <c r="C171" s="17"/>
      <c r="D171" s="4">
        <v>167</v>
      </c>
      <c r="E171" s="4">
        <v>10668</v>
      </c>
      <c r="F171" s="4" t="str">
        <f t="shared" si="9"/>
        <v>29AC</v>
      </c>
      <c r="G171" s="5" t="s">
        <v>674</v>
      </c>
      <c r="H171" s="5" t="s">
        <v>2149</v>
      </c>
      <c r="I171" s="4" t="s">
        <v>4</v>
      </c>
    </row>
    <row r="172" spans="2:9" ht="17.100000000000001" customHeight="1" x14ac:dyDescent="0.3">
      <c r="B172" s="19"/>
      <c r="C172" s="17"/>
      <c r="D172" s="4">
        <v>168</v>
      </c>
      <c r="E172" s="4">
        <v>10672</v>
      </c>
      <c r="F172" s="4" t="str">
        <f t="shared" si="9"/>
        <v>29B0</v>
      </c>
      <c r="G172" s="5" t="s">
        <v>675</v>
      </c>
      <c r="H172" s="5" t="s">
        <v>2150</v>
      </c>
      <c r="I172" s="4" t="s">
        <v>4</v>
      </c>
    </row>
    <row r="173" spans="2:9" ht="17.100000000000001" customHeight="1" x14ac:dyDescent="0.3">
      <c r="B173" s="19"/>
      <c r="C173" s="17"/>
      <c r="D173" s="4">
        <v>169</v>
      </c>
      <c r="E173" s="4">
        <v>10676</v>
      </c>
      <c r="F173" s="4" t="str">
        <f t="shared" si="9"/>
        <v>29B4</v>
      </c>
      <c r="G173" s="5" t="s">
        <v>676</v>
      </c>
      <c r="H173" s="5" t="s">
        <v>2151</v>
      </c>
      <c r="I173" s="4" t="s">
        <v>4</v>
      </c>
    </row>
    <row r="174" spans="2:9" ht="17.100000000000001" customHeight="1" x14ac:dyDescent="0.3">
      <c r="B174" s="19"/>
      <c r="C174" s="17"/>
      <c r="D174" s="4">
        <v>170</v>
      </c>
      <c r="E174" s="4">
        <v>10680</v>
      </c>
      <c r="F174" s="4" t="str">
        <f t="shared" si="9"/>
        <v>29B8</v>
      </c>
      <c r="G174" s="5" t="s">
        <v>677</v>
      </c>
      <c r="H174" s="5" t="s">
        <v>2152</v>
      </c>
      <c r="I174" s="4" t="s">
        <v>4</v>
      </c>
    </row>
    <row r="175" spans="2:9" ht="17.100000000000001" customHeight="1" x14ac:dyDescent="0.3">
      <c r="B175" s="19"/>
      <c r="C175" s="17"/>
      <c r="D175" s="4">
        <v>171</v>
      </c>
      <c r="E175" s="4">
        <v>10684</v>
      </c>
      <c r="F175" s="4" t="str">
        <f t="shared" si="9"/>
        <v>29BC</v>
      </c>
      <c r="G175" s="5" t="s">
        <v>678</v>
      </c>
      <c r="H175" s="5" t="s">
        <v>2153</v>
      </c>
      <c r="I175" s="4" t="s">
        <v>4</v>
      </c>
    </row>
    <row r="176" spans="2:9" ht="17.100000000000001" customHeight="1" x14ac:dyDescent="0.3">
      <c r="B176" s="19"/>
      <c r="C176" s="17"/>
      <c r="D176" s="4">
        <v>172</v>
      </c>
      <c r="E176" s="4">
        <v>10688</v>
      </c>
      <c r="F176" s="4" t="str">
        <f t="shared" si="9"/>
        <v>29C0</v>
      </c>
      <c r="G176" s="5" t="s">
        <v>679</v>
      </c>
      <c r="H176" s="5" t="s">
        <v>2154</v>
      </c>
      <c r="I176" s="4" t="s">
        <v>4</v>
      </c>
    </row>
    <row r="177" spans="2:9" ht="17.100000000000001" customHeight="1" x14ac:dyDescent="0.3">
      <c r="B177" s="19"/>
      <c r="C177" s="17"/>
      <c r="D177" s="4">
        <v>173</v>
      </c>
      <c r="E177" s="4">
        <v>10692</v>
      </c>
      <c r="F177" s="4" t="str">
        <f t="shared" si="9"/>
        <v>29C4</v>
      </c>
      <c r="G177" s="5" t="s">
        <v>680</v>
      </c>
      <c r="H177" s="5" t="s">
        <v>2155</v>
      </c>
      <c r="I177" s="4" t="s">
        <v>4</v>
      </c>
    </row>
    <row r="178" spans="2:9" ht="17.100000000000001" customHeight="1" x14ac:dyDescent="0.3">
      <c r="B178" s="19"/>
      <c r="C178" s="17"/>
      <c r="D178" s="4">
        <v>174</v>
      </c>
      <c r="E178" s="4">
        <v>10696</v>
      </c>
      <c r="F178" s="4" t="str">
        <f t="shared" si="9"/>
        <v>29C8</v>
      </c>
      <c r="G178" s="5" t="s">
        <v>681</v>
      </c>
      <c r="H178" s="5" t="s">
        <v>2156</v>
      </c>
      <c r="I178" s="4" t="s">
        <v>4</v>
      </c>
    </row>
    <row r="179" spans="2:9" ht="17.100000000000001" customHeight="1" x14ac:dyDescent="0.3">
      <c r="B179" s="19"/>
      <c r="C179" s="17"/>
      <c r="D179" s="4">
        <v>175</v>
      </c>
      <c r="E179" s="4">
        <v>10700</v>
      </c>
      <c r="F179" s="4" t="str">
        <f t="shared" si="9"/>
        <v>29CC</v>
      </c>
      <c r="G179" s="6" t="str">
        <f t="shared" ref="G179:G183" si="12">"pUmem_Sta_TBD_"&amp;F179</f>
        <v>pUmem_Sta_TBD_29CC</v>
      </c>
      <c r="H179" s="6"/>
      <c r="I179" s="7"/>
    </row>
    <row r="180" spans="2:9" ht="17.100000000000001" customHeight="1" x14ac:dyDescent="0.3">
      <c r="B180" s="19"/>
      <c r="C180" s="17"/>
      <c r="D180" s="4">
        <v>176</v>
      </c>
      <c r="E180" s="4">
        <v>10704</v>
      </c>
      <c r="F180" s="4" t="str">
        <f t="shared" si="9"/>
        <v>29D0</v>
      </c>
      <c r="G180" s="6" t="str">
        <f t="shared" si="12"/>
        <v>pUmem_Sta_TBD_29D0</v>
      </c>
      <c r="H180" s="6"/>
      <c r="I180" s="7"/>
    </row>
    <row r="181" spans="2:9" ht="17.100000000000001" customHeight="1" x14ac:dyDescent="0.3">
      <c r="B181" s="19"/>
      <c r="C181" s="17"/>
      <c r="D181" s="4">
        <v>177</v>
      </c>
      <c r="E181" s="4">
        <v>10708</v>
      </c>
      <c r="F181" s="4" t="str">
        <f t="shared" si="9"/>
        <v>29D4</v>
      </c>
      <c r="G181" s="6" t="str">
        <f t="shared" si="12"/>
        <v>pUmem_Sta_TBD_29D4</v>
      </c>
      <c r="H181" s="6"/>
      <c r="I181" s="7"/>
    </row>
    <row r="182" spans="2:9" ht="17.100000000000001" customHeight="1" x14ac:dyDescent="0.3">
      <c r="B182" s="19"/>
      <c r="C182" s="17"/>
      <c r="D182" s="4">
        <v>178</v>
      </c>
      <c r="E182" s="4">
        <v>10712</v>
      </c>
      <c r="F182" s="4" t="str">
        <f t="shared" si="9"/>
        <v>29D8</v>
      </c>
      <c r="G182" s="6" t="str">
        <f t="shared" si="12"/>
        <v>pUmem_Sta_TBD_29D8</v>
      </c>
      <c r="H182" s="6"/>
      <c r="I182" s="7"/>
    </row>
    <row r="183" spans="2:9" ht="17.100000000000001" customHeight="1" x14ac:dyDescent="0.3">
      <c r="B183" s="19"/>
      <c r="C183" s="17"/>
      <c r="D183" s="4">
        <v>179</v>
      </c>
      <c r="E183" s="4">
        <v>10716</v>
      </c>
      <c r="F183" s="4" t="str">
        <f t="shared" si="9"/>
        <v>29DC</v>
      </c>
      <c r="G183" s="6" t="str">
        <f t="shared" si="12"/>
        <v>pUmem_Sta_TBD_29DC</v>
      </c>
      <c r="H183" s="6"/>
      <c r="I183" s="7"/>
    </row>
    <row r="184" spans="2:9" ht="17.100000000000001" customHeight="1" x14ac:dyDescent="0.3">
      <c r="B184" s="19"/>
      <c r="C184" s="17" t="s">
        <v>284</v>
      </c>
      <c r="D184" s="4">
        <v>180</v>
      </c>
      <c r="E184" s="4">
        <v>10720</v>
      </c>
      <c r="F184" s="4" t="str">
        <f t="shared" si="9"/>
        <v>29E0</v>
      </c>
      <c r="G184" s="5" t="s">
        <v>682</v>
      </c>
      <c r="H184" s="5" t="s">
        <v>2143</v>
      </c>
      <c r="I184" s="4" t="s">
        <v>14</v>
      </c>
    </row>
    <row r="185" spans="2:9" ht="17.100000000000001" customHeight="1" x14ac:dyDescent="0.3">
      <c r="B185" s="19"/>
      <c r="C185" s="17"/>
      <c r="D185" s="4">
        <v>181</v>
      </c>
      <c r="E185" s="4">
        <v>10724</v>
      </c>
      <c r="F185" s="4" t="str">
        <f t="shared" si="9"/>
        <v>29E4</v>
      </c>
      <c r="G185" s="5" t="s">
        <v>683</v>
      </c>
      <c r="H185" s="5" t="s">
        <v>2144</v>
      </c>
      <c r="I185" s="4" t="s">
        <v>14</v>
      </c>
    </row>
    <row r="186" spans="2:9" ht="17.100000000000001" customHeight="1" x14ac:dyDescent="0.3">
      <c r="B186" s="19"/>
      <c r="C186" s="17"/>
      <c r="D186" s="4">
        <v>182</v>
      </c>
      <c r="E186" s="4">
        <v>10728</v>
      </c>
      <c r="F186" s="4" t="str">
        <f t="shared" si="9"/>
        <v>29E8</v>
      </c>
      <c r="G186" s="5" t="s">
        <v>684</v>
      </c>
      <c r="H186" s="5" t="s">
        <v>2145</v>
      </c>
      <c r="I186" s="4" t="s">
        <v>15</v>
      </c>
    </row>
    <row r="187" spans="2:9" ht="17.100000000000001" customHeight="1" x14ac:dyDescent="0.3">
      <c r="B187" s="19"/>
      <c r="C187" s="17"/>
      <c r="D187" s="4">
        <v>183</v>
      </c>
      <c r="E187" s="4">
        <v>10732</v>
      </c>
      <c r="F187" s="4" t="str">
        <f t="shared" si="9"/>
        <v>29EC</v>
      </c>
      <c r="G187" s="5" t="s">
        <v>685</v>
      </c>
      <c r="H187" s="5" t="s">
        <v>2146</v>
      </c>
      <c r="I187" s="12">
        <v>1E-3</v>
      </c>
    </row>
    <row r="188" spans="2:9" ht="17.100000000000001" customHeight="1" x14ac:dyDescent="0.3">
      <c r="B188" s="19"/>
      <c r="C188" s="17"/>
      <c r="D188" s="4">
        <v>184</v>
      </c>
      <c r="E188" s="4">
        <v>10736</v>
      </c>
      <c r="F188" s="4" t="str">
        <f t="shared" si="9"/>
        <v>29F0</v>
      </c>
      <c r="G188" s="5" t="s">
        <v>686</v>
      </c>
      <c r="H188" s="5" t="s">
        <v>2147</v>
      </c>
      <c r="I188" s="4" t="s">
        <v>5</v>
      </c>
    </row>
    <row r="189" spans="2:9" ht="17.100000000000001" customHeight="1" x14ac:dyDescent="0.3">
      <c r="B189" s="19"/>
      <c r="C189" s="17"/>
      <c r="D189" s="4">
        <v>185</v>
      </c>
      <c r="E189" s="4">
        <v>10740</v>
      </c>
      <c r="F189" s="4" t="str">
        <f t="shared" si="9"/>
        <v>29F4</v>
      </c>
      <c r="G189" s="5" t="s">
        <v>687</v>
      </c>
      <c r="H189" s="5" t="s">
        <v>180</v>
      </c>
      <c r="I189" s="4" t="s">
        <v>5</v>
      </c>
    </row>
    <row r="190" spans="2:9" ht="17.100000000000001" customHeight="1" x14ac:dyDescent="0.3">
      <c r="B190" s="19"/>
      <c r="C190" s="17"/>
      <c r="D190" s="4">
        <v>186</v>
      </c>
      <c r="E190" s="4">
        <v>10744</v>
      </c>
      <c r="F190" s="4" t="str">
        <f t="shared" si="9"/>
        <v>29F8</v>
      </c>
      <c r="G190" s="5" t="s">
        <v>688</v>
      </c>
      <c r="H190" s="5" t="s">
        <v>2148</v>
      </c>
      <c r="I190" s="4" t="s">
        <v>4</v>
      </c>
    </row>
    <row r="191" spans="2:9" ht="17.100000000000001" customHeight="1" x14ac:dyDescent="0.3">
      <c r="B191" s="19"/>
      <c r="C191" s="17"/>
      <c r="D191" s="4">
        <v>187</v>
      </c>
      <c r="E191" s="4">
        <v>10748</v>
      </c>
      <c r="F191" s="4" t="str">
        <f t="shared" si="9"/>
        <v>29FC</v>
      </c>
      <c r="G191" s="5" t="s">
        <v>689</v>
      </c>
      <c r="H191" s="5" t="s">
        <v>2149</v>
      </c>
      <c r="I191" s="4" t="s">
        <v>4</v>
      </c>
    </row>
    <row r="192" spans="2:9" ht="17.100000000000001" customHeight="1" x14ac:dyDescent="0.3">
      <c r="B192" s="19"/>
      <c r="C192" s="17"/>
      <c r="D192" s="4">
        <v>188</v>
      </c>
      <c r="E192" s="4">
        <v>10752</v>
      </c>
      <c r="F192" s="4" t="str">
        <f t="shared" si="9"/>
        <v>2A00</v>
      </c>
      <c r="G192" s="5" t="s">
        <v>690</v>
      </c>
      <c r="H192" s="5" t="s">
        <v>2150</v>
      </c>
      <c r="I192" s="4" t="s">
        <v>4</v>
      </c>
    </row>
    <row r="193" spans="2:9" ht="17.100000000000001" customHeight="1" x14ac:dyDescent="0.3">
      <c r="B193" s="19"/>
      <c r="C193" s="17"/>
      <c r="D193" s="4">
        <v>189</v>
      </c>
      <c r="E193" s="4">
        <v>10756</v>
      </c>
      <c r="F193" s="4" t="str">
        <f t="shared" si="9"/>
        <v>2A04</v>
      </c>
      <c r="G193" s="5" t="s">
        <v>691</v>
      </c>
      <c r="H193" s="5" t="s">
        <v>2151</v>
      </c>
      <c r="I193" s="4" t="s">
        <v>4</v>
      </c>
    </row>
    <row r="194" spans="2:9" ht="17.100000000000001" customHeight="1" x14ac:dyDescent="0.3">
      <c r="B194" s="19"/>
      <c r="C194" s="17"/>
      <c r="D194" s="4">
        <v>190</v>
      </c>
      <c r="E194" s="4">
        <v>10760</v>
      </c>
      <c r="F194" s="4" t="str">
        <f t="shared" si="9"/>
        <v>2A08</v>
      </c>
      <c r="G194" s="5" t="s">
        <v>692</v>
      </c>
      <c r="H194" s="5" t="s">
        <v>2152</v>
      </c>
      <c r="I194" s="4" t="s">
        <v>4</v>
      </c>
    </row>
    <row r="195" spans="2:9" ht="17.100000000000001" customHeight="1" x14ac:dyDescent="0.3">
      <c r="B195" s="19"/>
      <c r="C195" s="17"/>
      <c r="D195" s="4">
        <v>191</v>
      </c>
      <c r="E195" s="4">
        <v>10764</v>
      </c>
      <c r="F195" s="4" t="str">
        <f t="shared" si="9"/>
        <v>2A0C</v>
      </c>
      <c r="G195" s="5" t="s">
        <v>693</v>
      </c>
      <c r="H195" s="5" t="s">
        <v>2153</v>
      </c>
      <c r="I195" s="4" t="s">
        <v>4</v>
      </c>
    </row>
    <row r="196" spans="2:9" ht="17.100000000000001" customHeight="1" x14ac:dyDescent="0.3">
      <c r="B196" s="19"/>
      <c r="C196" s="17"/>
      <c r="D196" s="4">
        <v>192</v>
      </c>
      <c r="E196" s="4">
        <v>10768</v>
      </c>
      <c r="F196" s="4" t="str">
        <f t="shared" si="9"/>
        <v>2A10</v>
      </c>
      <c r="G196" s="5" t="s">
        <v>694</v>
      </c>
      <c r="H196" s="5" t="s">
        <v>2154</v>
      </c>
      <c r="I196" s="4" t="s">
        <v>4</v>
      </c>
    </row>
    <row r="197" spans="2:9" ht="17.100000000000001" customHeight="1" x14ac:dyDescent="0.3">
      <c r="B197" s="19"/>
      <c r="C197" s="17"/>
      <c r="D197" s="4">
        <v>193</v>
      </c>
      <c r="E197" s="4">
        <v>10772</v>
      </c>
      <c r="F197" s="4" t="str">
        <f t="shared" si="9"/>
        <v>2A14</v>
      </c>
      <c r="G197" s="5" t="s">
        <v>695</v>
      </c>
      <c r="H197" s="5" t="s">
        <v>2155</v>
      </c>
      <c r="I197" s="4" t="s">
        <v>4</v>
      </c>
    </row>
    <row r="198" spans="2:9" ht="17.100000000000001" customHeight="1" x14ac:dyDescent="0.3">
      <c r="B198" s="19"/>
      <c r="C198" s="17"/>
      <c r="D198" s="4">
        <v>194</v>
      </c>
      <c r="E198" s="4">
        <v>10776</v>
      </c>
      <c r="F198" s="4" t="str">
        <f t="shared" si="9"/>
        <v>2A18</v>
      </c>
      <c r="G198" s="5" t="s">
        <v>696</v>
      </c>
      <c r="H198" s="5" t="s">
        <v>2156</v>
      </c>
      <c r="I198" s="4" t="s">
        <v>4</v>
      </c>
    </row>
    <row r="199" spans="2:9" ht="17.100000000000001" customHeight="1" x14ac:dyDescent="0.3">
      <c r="B199" s="19"/>
      <c r="C199" s="17"/>
      <c r="D199" s="4">
        <v>195</v>
      </c>
      <c r="E199" s="4">
        <v>10780</v>
      </c>
      <c r="F199" s="4" t="str">
        <f t="shared" ref="F199:F262" si="13">DEC2HEX(E199)</f>
        <v>2A1C</v>
      </c>
      <c r="G199" s="6" t="str">
        <f t="shared" ref="G199:G203" si="14">"pUmem_Sta_TBD_"&amp;F199</f>
        <v>pUmem_Sta_TBD_2A1C</v>
      </c>
      <c r="H199" s="6"/>
      <c r="I199" s="7"/>
    </row>
    <row r="200" spans="2:9" ht="17.100000000000001" customHeight="1" x14ac:dyDescent="0.3">
      <c r="B200" s="19"/>
      <c r="C200" s="17"/>
      <c r="D200" s="4">
        <v>196</v>
      </c>
      <c r="E200" s="4">
        <v>10784</v>
      </c>
      <c r="F200" s="4" t="str">
        <f t="shared" si="13"/>
        <v>2A20</v>
      </c>
      <c r="G200" s="6" t="str">
        <f t="shared" si="14"/>
        <v>pUmem_Sta_TBD_2A20</v>
      </c>
      <c r="H200" s="6"/>
      <c r="I200" s="7"/>
    </row>
    <row r="201" spans="2:9" ht="17.100000000000001" customHeight="1" x14ac:dyDescent="0.3">
      <c r="B201" s="19"/>
      <c r="C201" s="17"/>
      <c r="D201" s="4">
        <v>197</v>
      </c>
      <c r="E201" s="4">
        <v>10788</v>
      </c>
      <c r="F201" s="4" t="str">
        <f t="shared" si="13"/>
        <v>2A24</v>
      </c>
      <c r="G201" s="6" t="str">
        <f t="shared" si="14"/>
        <v>pUmem_Sta_TBD_2A24</v>
      </c>
      <c r="H201" s="6"/>
      <c r="I201" s="7"/>
    </row>
    <row r="202" spans="2:9" ht="17.100000000000001" customHeight="1" x14ac:dyDescent="0.3">
      <c r="B202" s="19"/>
      <c r="C202" s="17"/>
      <c r="D202" s="4">
        <v>198</v>
      </c>
      <c r="E202" s="4">
        <v>10792</v>
      </c>
      <c r="F202" s="4" t="str">
        <f t="shared" si="13"/>
        <v>2A28</v>
      </c>
      <c r="G202" s="6" t="str">
        <f t="shared" si="14"/>
        <v>pUmem_Sta_TBD_2A28</v>
      </c>
      <c r="H202" s="6"/>
      <c r="I202" s="7"/>
    </row>
    <row r="203" spans="2:9" ht="17.100000000000001" customHeight="1" x14ac:dyDescent="0.3">
      <c r="B203" s="19"/>
      <c r="C203" s="17"/>
      <c r="D203" s="4">
        <v>199</v>
      </c>
      <c r="E203" s="4">
        <v>10796</v>
      </c>
      <c r="F203" s="4" t="str">
        <f t="shared" si="13"/>
        <v>2A2C</v>
      </c>
      <c r="G203" s="6" t="str">
        <f t="shared" si="14"/>
        <v>pUmem_Sta_TBD_2A2C</v>
      </c>
      <c r="H203" s="6"/>
      <c r="I203" s="7"/>
    </row>
    <row r="204" spans="2:9" ht="17.100000000000001" customHeight="1" x14ac:dyDescent="0.3">
      <c r="B204" s="19"/>
      <c r="C204" s="17" t="s">
        <v>285</v>
      </c>
      <c r="D204" s="4">
        <v>200</v>
      </c>
      <c r="E204" s="4">
        <v>10800</v>
      </c>
      <c r="F204" s="4" t="str">
        <f t="shared" si="13"/>
        <v>2A30</v>
      </c>
      <c r="G204" s="5" t="s">
        <v>697</v>
      </c>
      <c r="H204" s="5" t="s">
        <v>2143</v>
      </c>
      <c r="I204" s="4" t="s">
        <v>14</v>
      </c>
    </row>
    <row r="205" spans="2:9" ht="17.100000000000001" customHeight="1" x14ac:dyDescent="0.3">
      <c r="B205" s="19"/>
      <c r="C205" s="17"/>
      <c r="D205" s="4">
        <v>201</v>
      </c>
      <c r="E205" s="4">
        <v>10804</v>
      </c>
      <c r="F205" s="4" t="str">
        <f t="shared" si="13"/>
        <v>2A34</v>
      </c>
      <c r="G205" s="5" t="s">
        <v>698</v>
      </c>
      <c r="H205" s="5" t="s">
        <v>2144</v>
      </c>
      <c r="I205" s="4" t="s">
        <v>14</v>
      </c>
    </row>
    <row r="206" spans="2:9" ht="17.100000000000001" customHeight="1" x14ac:dyDescent="0.3">
      <c r="B206" s="19"/>
      <c r="C206" s="17"/>
      <c r="D206" s="4">
        <v>202</v>
      </c>
      <c r="E206" s="4">
        <v>10808</v>
      </c>
      <c r="F206" s="4" t="str">
        <f t="shared" si="13"/>
        <v>2A38</v>
      </c>
      <c r="G206" s="5" t="s">
        <v>699</v>
      </c>
      <c r="H206" s="5" t="s">
        <v>2145</v>
      </c>
      <c r="I206" s="4" t="s">
        <v>15</v>
      </c>
    </row>
    <row r="207" spans="2:9" ht="17.100000000000001" customHeight="1" x14ac:dyDescent="0.3">
      <c r="B207" s="19"/>
      <c r="C207" s="17"/>
      <c r="D207" s="4">
        <v>203</v>
      </c>
      <c r="E207" s="4">
        <v>10812</v>
      </c>
      <c r="F207" s="4" t="str">
        <f t="shared" si="13"/>
        <v>2A3C</v>
      </c>
      <c r="G207" s="5" t="s">
        <v>700</v>
      </c>
      <c r="H207" s="5" t="s">
        <v>2146</v>
      </c>
      <c r="I207" s="12">
        <v>1E-3</v>
      </c>
    </row>
    <row r="208" spans="2:9" ht="17.100000000000001" customHeight="1" x14ac:dyDescent="0.3">
      <c r="B208" s="19"/>
      <c r="C208" s="17"/>
      <c r="D208" s="4">
        <v>204</v>
      </c>
      <c r="E208" s="4">
        <v>10816</v>
      </c>
      <c r="F208" s="4" t="str">
        <f t="shared" si="13"/>
        <v>2A40</v>
      </c>
      <c r="G208" s="5" t="s">
        <v>701</v>
      </c>
      <c r="H208" s="5" t="s">
        <v>2147</v>
      </c>
      <c r="I208" s="4" t="s">
        <v>5</v>
      </c>
    </row>
    <row r="209" spans="2:9" ht="17.100000000000001" customHeight="1" x14ac:dyDescent="0.3">
      <c r="B209" s="19"/>
      <c r="C209" s="17"/>
      <c r="D209" s="4">
        <v>205</v>
      </c>
      <c r="E209" s="4">
        <v>10820</v>
      </c>
      <c r="F209" s="4" t="str">
        <f t="shared" si="13"/>
        <v>2A44</v>
      </c>
      <c r="G209" s="5" t="s">
        <v>702</v>
      </c>
      <c r="H209" s="5" t="s">
        <v>180</v>
      </c>
      <c r="I209" s="4" t="s">
        <v>5</v>
      </c>
    </row>
    <row r="210" spans="2:9" ht="17.100000000000001" customHeight="1" x14ac:dyDescent="0.3">
      <c r="B210" s="19"/>
      <c r="C210" s="17"/>
      <c r="D210" s="4">
        <v>206</v>
      </c>
      <c r="E210" s="4">
        <v>10824</v>
      </c>
      <c r="F210" s="4" t="str">
        <f t="shared" si="13"/>
        <v>2A48</v>
      </c>
      <c r="G210" s="5" t="s">
        <v>703</v>
      </c>
      <c r="H210" s="5" t="s">
        <v>2148</v>
      </c>
      <c r="I210" s="4" t="s">
        <v>4</v>
      </c>
    </row>
    <row r="211" spans="2:9" ht="17.100000000000001" customHeight="1" x14ac:dyDescent="0.3">
      <c r="B211" s="19"/>
      <c r="C211" s="17"/>
      <c r="D211" s="4">
        <v>207</v>
      </c>
      <c r="E211" s="4">
        <v>10828</v>
      </c>
      <c r="F211" s="4" t="str">
        <f t="shared" si="13"/>
        <v>2A4C</v>
      </c>
      <c r="G211" s="5" t="s">
        <v>704</v>
      </c>
      <c r="H211" s="5" t="s">
        <v>2149</v>
      </c>
      <c r="I211" s="4" t="s">
        <v>4</v>
      </c>
    </row>
    <row r="212" spans="2:9" ht="17.100000000000001" customHeight="1" x14ac:dyDescent="0.3">
      <c r="B212" s="19"/>
      <c r="C212" s="17"/>
      <c r="D212" s="4">
        <v>208</v>
      </c>
      <c r="E212" s="4">
        <v>10832</v>
      </c>
      <c r="F212" s="4" t="str">
        <f t="shared" si="13"/>
        <v>2A50</v>
      </c>
      <c r="G212" s="5" t="s">
        <v>705</v>
      </c>
      <c r="H212" s="5" t="s">
        <v>2150</v>
      </c>
      <c r="I212" s="4" t="s">
        <v>4</v>
      </c>
    </row>
    <row r="213" spans="2:9" ht="17.100000000000001" customHeight="1" x14ac:dyDescent="0.3">
      <c r="B213" s="19"/>
      <c r="C213" s="17"/>
      <c r="D213" s="4">
        <v>209</v>
      </c>
      <c r="E213" s="4">
        <v>10836</v>
      </c>
      <c r="F213" s="4" t="str">
        <f t="shared" si="13"/>
        <v>2A54</v>
      </c>
      <c r="G213" s="5" t="s">
        <v>706</v>
      </c>
      <c r="H213" s="5" t="s">
        <v>2151</v>
      </c>
      <c r="I213" s="4" t="s">
        <v>4</v>
      </c>
    </row>
    <row r="214" spans="2:9" ht="17.100000000000001" customHeight="1" x14ac:dyDescent="0.3">
      <c r="B214" s="19"/>
      <c r="C214" s="17"/>
      <c r="D214" s="4">
        <v>210</v>
      </c>
      <c r="E214" s="4">
        <v>10840</v>
      </c>
      <c r="F214" s="4" t="str">
        <f t="shared" si="13"/>
        <v>2A58</v>
      </c>
      <c r="G214" s="5" t="s">
        <v>707</v>
      </c>
      <c r="H214" s="5" t="s">
        <v>2152</v>
      </c>
      <c r="I214" s="4" t="s">
        <v>4</v>
      </c>
    </row>
    <row r="215" spans="2:9" ht="17.100000000000001" customHeight="1" x14ac:dyDescent="0.3">
      <c r="B215" s="19"/>
      <c r="C215" s="17"/>
      <c r="D215" s="4">
        <v>211</v>
      </c>
      <c r="E215" s="4">
        <v>10844</v>
      </c>
      <c r="F215" s="4" t="str">
        <f t="shared" si="13"/>
        <v>2A5C</v>
      </c>
      <c r="G215" s="5" t="s">
        <v>708</v>
      </c>
      <c r="H215" s="5" t="s">
        <v>2153</v>
      </c>
      <c r="I215" s="4" t="s">
        <v>4</v>
      </c>
    </row>
    <row r="216" spans="2:9" ht="17.100000000000001" customHeight="1" x14ac:dyDescent="0.3">
      <c r="B216" s="19"/>
      <c r="C216" s="17"/>
      <c r="D216" s="4">
        <v>212</v>
      </c>
      <c r="E216" s="4">
        <v>10848</v>
      </c>
      <c r="F216" s="4" t="str">
        <f t="shared" si="13"/>
        <v>2A60</v>
      </c>
      <c r="G216" s="5" t="s">
        <v>709</v>
      </c>
      <c r="H216" s="5" t="s">
        <v>2154</v>
      </c>
      <c r="I216" s="4" t="s">
        <v>4</v>
      </c>
    </row>
    <row r="217" spans="2:9" ht="17.100000000000001" customHeight="1" x14ac:dyDescent="0.3">
      <c r="B217" s="19"/>
      <c r="C217" s="17"/>
      <c r="D217" s="4">
        <v>213</v>
      </c>
      <c r="E217" s="4">
        <v>10852</v>
      </c>
      <c r="F217" s="4" t="str">
        <f t="shared" si="13"/>
        <v>2A64</v>
      </c>
      <c r="G217" s="5" t="s">
        <v>710</v>
      </c>
      <c r="H217" s="5" t="s">
        <v>2155</v>
      </c>
      <c r="I217" s="4" t="s">
        <v>4</v>
      </c>
    </row>
    <row r="218" spans="2:9" ht="17.100000000000001" customHeight="1" x14ac:dyDescent="0.3">
      <c r="B218" s="19"/>
      <c r="C218" s="17"/>
      <c r="D218" s="4">
        <v>214</v>
      </c>
      <c r="E218" s="4">
        <v>10856</v>
      </c>
      <c r="F218" s="4" t="str">
        <f t="shared" si="13"/>
        <v>2A68</v>
      </c>
      <c r="G218" s="5" t="s">
        <v>711</v>
      </c>
      <c r="H218" s="5" t="s">
        <v>2156</v>
      </c>
      <c r="I218" s="4" t="s">
        <v>4</v>
      </c>
    </row>
    <row r="219" spans="2:9" ht="17.100000000000001" customHeight="1" x14ac:dyDescent="0.3">
      <c r="B219" s="19"/>
      <c r="C219" s="17"/>
      <c r="D219" s="4">
        <v>215</v>
      </c>
      <c r="E219" s="4">
        <v>10860</v>
      </c>
      <c r="F219" s="4" t="str">
        <f t="shared" si="13"/>
        <v>2A6C</v>
      </c>
      <c r="G219" s="6" t="str">
        <f t="shared" ref="G219:G223" si="15">"pUmem_Sta_TBD_"&amp;F219</f>
        <v>pUmem_Sta_TBD_2A6C</v>
      </c>
      <c r="H219" s="6"/>
      <c r="I219" s="7"/>
    </row>
    <row r="220" spans="2:9" ht="17.100000000000001" customHeight="1" x14ac:dyDescent="0.3">
      <c r="B220" s="19"/>
      <c r="C220" s="17"/>
      <c r="D220" s="4">
        <v>216</v>
      </c>
      <c r="E220" s="4">
        <v>10864</v>
      </c>
      <c r="F220" s="4" t="str">
        <f t="shared" si="13"/>
        <v>2A70</v>
      </c>
      <c r="G220" s="6" t="str">
        <f t="shared" si="15"/>
        <v>pUmem_Sta_TBD_2A70</v>
      </c>
      <c r="H220" s="6"/>
      <c r="I220" s="7"/>
    </row>
    <row r="221" spans="2:9" ht="17.100000000000001" customHeight="1" x14ac:dyDescent="0.3">
      <c r="B221" s="19"/>
      <c r="C221" s="17"/>
      <c r="D221" s="4">
        <v>217</v>
      </c>
      <c r="E221" s="4">
        <v>10868</v>
      </c>
      <c r="F221" s="4" t="str">
        <f t="shared" si="13"/>
        <v>2A74</v>
      </c>
      <c r="G221" s="6" t="str">
        <f t="shared" si="15"/>
        <v>pUmem_Sta_TBD_2A74</v>
      </c>
      <c r="H221" s="6"/>
      <c r="I221" s="7"/>
    </row>
    <row r="222" spans="2:9" ht="17.100000000000001" customHeight="1" x14ac:dyDescent="0.3">
      <c r="B222" s="19"/>
      <c r="C222" s="17"/>
      <c r="D222" s="4">
        <v>218</v>
      </c>
      <c r="E222" s="4">
        <v>10872</v>
      </c>
      <c r="F222" s="4" t="str">
        <f t="shared" si="13"/>
        <v>2A78</v>
      </c>
      <c r="G222" s="6" t="str">
        <f t="shared" si="15"/>
        <v>pUmem_Sta_TBD_2A78</v>
      </c>
      <c r="H222" s="6"/>
      <c r="I222" s="7"/>
    </row>
    <row r="223" spans="2:9" ht="17.100000000000001" customHeight="1" x14ac:dyDescent="0.3">
      <c r="B223" s="19"/>
      <c r="C223" s="17"/>
      <c r="D223" s="4">
        <v>219</v>
      </c>
      <c r="E223" s="4">
        <v>10876</v>
      </c>
      <c r="F223" s="4" t="str">
        <f t="shared" si="13"/>
        <v>2A7C</v>
      </c>
      <c r="G223" s="6" t="str">
        <f t="shared" si="15"/>
        <v>pUmem_Sta_TBD_2A7C</v>
      </c>
      <c r="H223" s="6"/>
      <c r="I223" s="7"/>
    </row>
    <row r="224" spans="2:9" ht="17.100000000000001" customHeight="1" x14ac:dyDescent="0.3">
      <c r="B224" s="19"/>
      <c r="C224" s="17" t="s">
        <v>286</v>
      </c>
      <c r="D224" s="4">
        <v>220</v>
      </c>
      <c r="E224" s="4">
        <v>10880</v>
      </c>
      <c r="F224" s="4" t="str">
        <f t="shared" si="13"/>
        <v>2A80</v>
      </c>
      <c r="G224" s="5" t="s">
        <v>712</v>
      </c>
      <c r="H224" s="5" t="s">
        <v>2143</v>
      </c>
      <c r="I224" s="4" t="s">
        <v>14</v>
      </c>
    </row>
    <row r="225" spans="2:9" ht="17.100000000000001" customHeight="1" x14ac:dyDescent="0.3">
      <c r="B225" s="19"/>
      <c r="C225" s="17"/>
      <c r="D225" s="4">
        <v>221</v>
      </c>
      <c r="E225" s="4">
        <v>10884</v>
      </c>
      <c r="F225" s="4" t="str">
        <f t="shared" si="13"/>
        <v>2A84</v>
      </c>
      <c r="G225" s="5" t="s">
        <v>713</v>
      </c>
      <c r="H225" s="5" t="s">
        <v>2144</v>
      </c>
      <c r="I225" s="4" t="s">
        <v>14</v>
      </c>
    </row>
    <row r="226" spans="2:9" ht="17.100000000000001" customHeight="1" x14ac:dyDescent="0.3">
      <c r="B226" s="19"/>
      <c r="C226" s="17"/>
      <c r="D226" s="4">
        <v>222</v>
      </c>
      <c r="E226" s="4">
        <v>10888</v>
      </c>
      <c r="F226" s="4" t="str">
        <f t="shared" si="13"/>
        <v>2A88</v>
      </c>
      <c r="G226" s="5" t="s">
        <v>714</v>
      </c>
      <c r="H226" s="5" t="s">
        <v>2145</v>
      </c>
      <c r="I226" s="4" t="s">
        <v>15</v>
      </c>
    </row>
    <row r="227" spans="2:9" ht="17.100000000000001" customHeight="1" x14ac:dyDescent="0.3">
      <c r="B227" s="19"/>
      <c r="C227" s="17"/>
      <c r="D227" s="4">
        <v>223</v>
      </c>
      <c r="E227" s="4">
        <v>10892</v>
      </c>
      <c r="F227" s="4" t="str">
        <f t="shared" si="13"/>
        <v>2A8C</v>
      </c>
      <c r="G227" s="5" t="s">
        <v>715</v>
      </c>
      <c r="H227" s="5" t="s">
        <v>2146</v>
      </c>
      <c r="I227" s="12">
        <v>1E-3</v>
      </c>
    </row>
    <row r="228" spans="2:9" ht="17.100000000000001" customHeight="1" x14ac:dyDescent="0.3">
      <c r="B228" s="19"/>
      <c r="C228" s="17"/>
      <c r="D228" s="4">
        <v>224</v>
      </c>
      <c r="E228" s="4">
        <v>10896</v>
      </c>
      <c r="F228" s="4" t="str">
        <f t="shared" si="13"/>
        <v>2A90</v>
      </c>
      <c r="G228" s="5" t="s">
        <v>716</v>
      </c>
      <c r="H228" s="5" t="s">
        <v>2147</v>
      </c>
      <c r="I228" s="4" t="s">
        <v>5</v>
      </c>
    </row>
    <row r="229" spans="2:9" ht="17.100000000000001" customHeight="1" x14ac:dyDescent="0.3">
      <c r="B229" s="19"/>
      <c r="C229" s="17"/>
      <c r="D229" s="4">
        <v>225</v>
      </c>
      <c r="E229" s="4">
        <v>10900</v>
      </c>
      <c r="F229" s="4" t="str">
        <f t="shared" si="13"/>
        <v>2A94</v>
      </c>
      <c r="G229" s="5" t="s">
        <v>717</v>
      </c>
      <c r="H229" s="5" t="s">
        <v>180</v>
      </c>
      <c r="I229" s="4" t="s">
        <v>5</v>
      </c>
    </row>
    <row r="230" spans="2:9" ht="17.100000000000001" customHeight="1" x14ac:dyDescent="0.3">
      <c r="B230" s="19"/>
      <c r="C230" s="17"/>
      <c r="D230" s="4">
        <v>226</v>
      </c>
      <c r="E230" s="4">
        <v>10904</v>
      </c>
      <c r="F230" s="4" t="str">
        <f t="shared" si="13"/>
        <v>2A98</v>
      </c>
      <c r="G230" s="5" t="s">
        <v>718</v>
      </c>
      <c r="H230" s="5" t="s">
        <v>2148</v>
      </c>
      <c r="I230" s="4" t="s">
        <v>4</v>
      </c>
    </row>
    <row r="231" spans="2:9" ht="17.100000000000001" customHeight="1" x14ac:dyDescent="0.3">
      <c r="B231" s="19"/>
      <c r="C231" s="17"/>
      <c r="D231" s="4">
        <v>227</v>
      </c>
      <c r="E231" s="4">
        <v>10908</v>
      </c>
      <c r="F231" s="4" t="str">
        <f t="shared" si="13"/>
        <v>2A9C</v>
      </c>
      <c r="G231" s="5" t="s">
        <v>719</v>
      </c>
      <c r="H231" s="5" t="s">
        <v>2149</v>
      </c>
      <c r="I231" s="4" t="s">
        <v>4</v>
      </c>
    </row>
    <row r="232" spans="2:9" ht="17.100000000000001" customHeight="1" x14ac:dyDescent="0.3">
      <c r="B232" s="19"/>
      <c r="C232" s="17"/>
      <c r="D232" s="4">
        <v>228</v>
      </c>
      <c r="E232" s="4">
        <v>10912</v>
      </c>
      <c r="F232" s="4" t="str">
        <f t="shared" si="13"/>
        <v>2AA0</v>
      </c>
      <c r="G232" s="5" t="s">
        <v>720</v>
      </c>
      <c r="H232" s="5" t="s">
        <v>2150</v>
      </c>
      <c r="I232" s="4" t="s">
        <v>4</v>
      </c>
    </row>
    <row r="233" spans="2:9" ht="17.100000000000001" customHeight="1" x14ac:dyDescent="0.3">
      <c r="B233" s="19"/>
      <c r="C233" s="17"/>
      <c r="D233" s="4">
        <v>229</v>
      </c>
      <c r="E233" s="4">
        <v>10916</v>
      </c>
      <c r="F233" s="4" t="str">
        <f t="shared" si="13"/>
        <v>2AA4</v>
      </c>
      <c r="G233" s="5" t="s">
        <v>721</v>
      </c>
      <c r="H233" s="5" t="s">
        <v>2151</v>
      </c>
      <c r="I233" s="4" t="s">
        <v>4</v>
      </c>
    </row>
    <row r="234" spans="2:9" ht="17.100000000000001" customHeight="1" x14ac:dyDescent="0.3">
      <c r="B234" s="19"/>
      <c r="C234" s="17"/>
      <c r="D234" s="4">
        <v>230</v>
      </c>
      <c r="E234" s="4">
        <v>10920</v>
      </c>
      <c r="F234" s="4" t="str">
        <f t="shared" si="13"/>
        <v>2AA8</v>
      </c>
      <c r="G234" s="5" t="s">
        <v>722</v>
      </c>
      <c r="H234" s="5" t="s">
        <v>2152</v>
      </c>
      <c r="I234" s="4" t="s">
        <v>4</v>
      </c>
    </row>
    <row r="235" spans="2:9" ht="17.100000000000001" customHeight="1" x14ac:dyDescent="0.3">
      <c r="B235" s="19"/>
      <c r="C235" s="17"/>
      <c r="D235" s="4">
        <v>231</v>
      </c>
      <c r="E235" s="4">
        <v>10924</v>
      </c>
      <c r="F235" s="4" t="str">
        <f t="shared" si="13"/>
        <v>2AAC</v>
      </c>
      <c r="G235" s="5" t="s">
        <v>723</v>
      </c>
      <c r="H235" s="5" t="s">
        <v>2153</v>
      </c>
      <c r="I235" s="4" t="s">
        <v>4</v>
      </c>
    </row>
    <row r="236" spans="2:9" ht="17.100000000000001" customHeight="1" x14ac:dyDescent="0.3">
      <c r="B236" s="19"/>
      <c r="C236" s="17"/>
      <c r="D236" s="4">
        <v>232</v>
      </c>
      <c r="E236" s="4">
        <v>10928</v>
      </c>
      <c r="F236" s="4" t="str">
        <f t="shared" si="13"/>
        <v>2AB0</v>
      </c>
      <c r="G236" s="5" t="s">
        <v>724</v>
      </c>
      <c r="H236" s="5" t="s">
        <v>2154</v>
      </c>
      <c r="I236" s="4" t="s">
        <v>4</v>
      </c>
    </row>
    <row r="237" spans="2:9" ht="17.100000000000001" customHeight="1" x14ac:dyDescent="0.3">
      <c r="B237" s="19"/>
      <c r="C237" s="17"/>
      <c r="D237" s="4">
        <v>233</v>
      </c>
      <c r="E237" s="4">
        <v>10932</v>
      </c>
      <c r="F237" s="4" t="str">
        <f t="shared" si="13"/>
        <v>2AB4</v>
      </c>
      <c r="G237" s="5" t="s">
        <v>725</v>
      </c>
      <c r="H237" s="5" t="s">
        <v>2155</v>
      </c>
      <c r="I237" s="4" t="s">
        <v>4</v>
      </c>
    </row>
    <row r="238" spans="2:9" ht="17.100000000000001" customHeight="1" x14ac:dyDescent="0.3">
      <c r="B238" s="19"/>
      <c r="C238" s="17"/>
      <c r="D238" s="4">
        <v>234</v>
      </c>
      <c r="E238" s="4">
        <v>10936</v>
      </c>
      <c r="F238" s="4" t="str">
        <f t="shared" si="13"/>
        <v>2AB8</v>
      </c>
      <c r="G238" s="5" t="s">
        <v>726</v>
      </c>
      <c r="H238" s="5" t="s">
        <v>2156</v>
      </c>
      <c r="I238" s="4" t="s">
        <v>4</v>
      </c>
    </row>
    <row r="239" spans="2:9" ht="17.100000000000001" customHeight="1" x14ac:dyDescent="0.3">
      <c r="B239" s="19"/>
      <c r="C239" s="17"/>
      <c r="D239" s="4">
        <v>235</v>
      </c>
      <c r="E239" s="4">
        <v>10940</v>
      </c>
      <c r="F239" s="4" t="str">
        <f t="shared" si="13"/>
        <v>2ABC</v>
      </c>
      <c r="G239" s="6" t="str">
        <f t="shared" ref="G239:G243" si="16">"pUmem_Sta_TBD_"&amp;F239</f>
        <v>pUmem_Sta_TBD_2ABC</v>
      </c>
      <c r="H239" s="6"/>
      <c r="I239" s="7"/>
    </row>
    <row r="240" spans="2:9" ht="17.100000000000001" customHeight="1" x14ac:dyDescent="0.3">
      <c r="B240" s="19"/>
      <c r="C240" s="17"/>
      <c r="D240" s="4">
        <v>236</v>
      </c>
      <c r="E240" s="4">
        <v>10944</v>
      </c>
      <c r="F240" s="4" t="str">
        <f t="shared" si="13"/>
        <v>2AC0</v>
      </c>
      <c r="G240" s="6" t="str">
        <f t="shared" si="16"/>
        <v>pUmem_Sta_TBD_2AC0</v>
      </c>
      <c r="H240" s="6"/>
      <c r="I240" s="7"/>
    </row>
    <row r="241" spans="2:9" ht="17.100000000000001" customHeight="1" x14ac:dyDescent="0.3">
      <c r="B241" s="19"/>
      <c r="C241" s="17"/>
      <c r="D241" s="4">
        <v>237</v>
      </c>
      <c r="E241" s="4">
        <v>10948</v>
      </c>
      <c r="F241" s="4" t="str">
        <f t="shared" si="13"/>
        <v>2AC4</v>
      </c>
      <c r="G241" s="6" t="str">
        <f t="shared" si="16"/>
        <v>pUmem_Sta_TBD_2AC4</v>
      </c>
      <c r="H241" s="6"/>
      <c r="I241" s="7"/>
    </row>
    <row r="242" spans="2:9" ht="17.100000000000001" customHeight="1" x14ac:dyDescent="0.3">
      <c r="B242" s="19"/>
      <c r="C242" s="17"/>
      <c r="D242" s="4">
        <v>238</v>
      </c>
      <c r="E242" s="4">
        <v>10952</v>
      </c>
      <c r="F242" s="4" t="str">
        <f t="shared" si="13"/>
        <v>2AC8</v>
      </c>
      <c r="G242" s="6" t="str">
        <f t="shared" si="16"/>
        <v>pUmem_Sta_TBD_2AC8</v>
      </c>
      <c r="H242" s="6"/>
      <c r="I242" s="7"/>
    </row>
    <row r="243" spans="2:9" ht="17.100000000000001" customHeight="1" x14ac:dyDescent="0.3">
      <c r="B243" s="19"/>
      <c r="C243" s="17"/>
      <c r="D243" s="4">
        <v>239</v>
      </c>
      <c r="E243" s="4">
        <v>10956</v>
      </c>
      <c r="F243" s="4" t="str">
        <f t="shared" si="13"/>
        <v>2ACC</v>
      </c>
      <c r="G243" s="6" t="str">
        <f t="shared" si="16"/>
        <v>pUmem_Sta_TBD_2ACC</v>
      </c>
      <c r="H243" s="6"/>
      <c r="I243" s="7"/>
    </row>
    <row r="244" spans="2:9" ht="17.100000000000001" customHeight="1" x14ac:dyDescent="0.3">
      <c r="B244" s="19"/>
      <c r="C244" s="17" t="s">
        <v>287</v>
      </c>
      <c r="D244" s="4">
        <v>240</v>
      </c>
      <c r="E244" s="4">
        <v>10960</v>
      </c>
      <c r="F244" s="4" t="str">
        <f t="shared" si="13"/>
        <v>2AD0</v>
      </c>
      <c r="G244" s="5" t="s">
        <v>727</v>
      </c>
      <c r="H244" s="5" t="s">
        <v>2143</v>
      </c>
      <c r="I244" s="4" t="s">
        <v>14</v>
      </c>
    </row>
    <row r="245" spans="2:9" ht="17.100000000000001" customHeight="1" x14ac:dyDescent="0.3">
      <c r="B245" s="19"/>
      <c r="C245" s="17"/>
      <c r="D245" s="4">
        <v>241</v>
      </c>
      <c r="E245" s="4">
        <v>10964</v>
      </c>
      <c r="F245" s="4" t="str">
        <f t="shared" si="13"/>
        <v>2AD4</v>
      </c>
      <c r="G245" s="5" t="s">
        <v>728</v>
      </c>
      <c r="H245" s="5" t="s">
        <v>2144</v>
      </c>
      <c r="I245" s="4" t="s">
        <v>14</v>
      </c>
    </row>
    <row r="246" spans="2:9" ht="17.100000000000001" customHeight="1" x14ac:dyDescent="0.3">
      <c r="B246" s="19"/>
      <c r="C246" s="17"/>
      <c r="D246" s="4">
        <v>242</v>
      </c>
      <c r="E246" s="4">
        <v>10968</v>
      </c>
      <c r="F246" s="4" t="str">
        <f t="shared" si="13"/>
        <v>2AD8</v>
      </c>
      <c r="G246" s="5" t="s">
        <v>729</v>
      </c>
      <c r="H246" s="5" t="s">
        <v>2145</v>
      </c>
      <c r="I246" s="4" t="s">
        <v>15</v>
      </c>
    </row>
    <row r="247" spans="2:9" ht="17.100000000000001" customHeight="1" x14ac:dyDescent="0.3">
      <c r="B247" s="19"/>
      <c r="C247" s="17"/>
      <c r="D247" s="4">
        <v>243</v>
      </c>
      <c r="E247" s="4">
        <v>10972</v>
      </c>
      <c r="F247" s="4" t="str">
        <f t="shared" si="13"/>
        <v>2ADC</v>
      </c>
      <c r="G247" s="5" t="s">
        <v>730</v>
      </c>
      <c r="H247" s="5" t="s">
        <v>2146</v>
      </c>
      <c r="I247" s="12">
        <v>1E-3</v>
      </c>
    </row>
    <row r="248" spans="2:9" ht="17.100000000000001" customHeight="1" x14ac:dyDescent="0.3">
      <c r="B248" s="19"/>
      <c r="C248" s="17"/>
      <c r="D248" s="4">
        <v>244</v>
      </c>
      <c r="E248" s="4">
        <v>10976</v>
      </c>
      <c r="F248" s="4" t="str">
        <f t="shared" si="13"/>
        <v>2AE0</v>
      </c>
      <c r="G248" s="5" t="s">
        <v>731</v>
      </c>
      <c r="H248" s="5" t="s">
        <v>2147</v>
      </c>
      <c r="I248" s="4" t="s">
        <v>5</v>
      </c>
    </row>
    <row r="249" spans="2:9" ht="17.100000000000001" customHeight="1" x14ac:dyDescent="0.3">
      <c r="B249" s="19"/>
      <c r="C249" s="17"/>
      <c r="D249" s="4">
        <v>245</v>
      </c>
      <c r="E249" s="4">
        <v>10980</v>
      </c>
      <c r="F249" s="4" t="str">
        <f t="shared" si="13"/>
        <v>2AE4</v>
      </c>
      <c r="G249" s="5" t="s">
        <v>732</v>
      </c>
      <c r="H249" s="5" t="s">
        <v>180</v>
      </c>
      <c r="I249" s="4" t="s">
        <v>5</v>
      </c>
    </row>
    <row r="250" spans="2:9" ht="17.100000000000001" customHeight="1" x14ac:dyDescent="0.3">
      <c r="B250" s="19"/>
      <c r="C250" s="17"/>
      <c r="D250" s="4">
        <v>246</v>
      </c>
      <c r="E250" s="4">
        <v>10984</v>
      </c>
      <c r="F250" s="4" t="str">
        <f t="shared" si="13"/>
        <v>2AE8</v>
      </c>
      <c r="G250" s="5" t="s">
        <v>733</v>
      </c>
      <c r="H250" s="5" t="s">
        <v>2148</v>
      </c>
      <c r="I250" s="4" t="s">
        <v>4</v>
      </c>
    </row>
    <row r="251" spans="2:9" ht="17.100000000000001" customHeight="1" x14ac:dyDescent="0.3">
      <c r="B251" s="19"/>
      <c r="C251" s="17"/>
      <c r="D251" s="4">
        <v>247</v>
      </c>
      <c r="E251" s="4">
        <v>10988</v>
      </c>
      <c r="F251" s="4" t="str">
        <f t="shared" si="13"/>
        <v>2AEC</v>
      </c>
      <c r="G251" s="5" t="s">
        <v>734</v>
      </c>
      <c r="H251" s="5" t="s">
        <v>2149</v>
      </c>
      <c r="I251" s="4" t="s">
        <v>4</v>
      </c>
    </row>
    <row r="252" spans="2:9" ht="17.100000000000001" customHeight="1" x14ac:dyDescent="0.3">
      <c r="B252" s="19"/>
      <c r="C252" s="17"/>
      <c r="D252" s="4">
        <v>248</v>
      </c>
      <c r="E252" s="4">
        <v>10992</v>
      </c>
      <c r="F252" s="4" t="str">
        <f t="shared" si="13"/>
        <v>2AF0</v>
      </c>
      <c r="G252" s="5" t="s">
        <v>735</v>
      </c>
      <c r="H252" s="5" t="s">
        <v>2150</v>
      </c>
      <c r="I252" s="4" t="s">
        <v>4</v>
      </c>
    </row>
    <row r="253" spans="2:9" ht="17.100000000000001" customHeight="1" x14ac:dyDescent="0.3">
      <c r="B253" s="19"/>
      <c r="C253" s="17"/>
      <c r="D253" s="4">
        <v>249</v>
      </c>
      <c r="E253" s="4">
        <v>10996</v>
      </c>
      <c r="F253" s="4" t="str">
        <f t="shared" si="13"/>
        <v>2AF4</v>
      </c>
      <c r="G253" s="5" t="s">
        <v>736</v>
      </c>
      <c r="H253" s="5" t="s">
        <v>2151</v>
      </c>
      <c r="I253" s="4" t="s">
        <v>4</v>
      </c>
    </row>
    <row r="254" spans="2:9" ht="17.100000000000001" customHeight="1" x14ac:dyDescent="0.3">
      <c r="B254" s="19"/>
      <c r="C254" s="17"/>
      <c r="D254" s="4">
        <v>250</v>
      </c>
      <c r="E254" s="4">
        <v>11000</v>
      </c>
      <c r="F254" s="4" t="str">
        <f t="shared" si="13"/>
        <v>2AF8</v>
      </c>
      <c r="G254" s="5" t="s">
        <v>737</v>
      </c>
      <c r="H254" s="5" t="s">
        <v>2152</v>
      </c>
      <c r="I254" s="4" t="s">
        <v>4</v>
      </c>
    </row>
    <row r="255" spans="2:9" ht="17.100000000000001" customHeight="1" x14ac:dyDescent="0.3">
      <c r="B255" s="19"/>
      <c r="C255" s="17"/>
      <c r="D255" s="4">
        <v>251</v>
      </c>
      <c r="E255" s="4">
        <v>11004</v>
      </c>
      <c r="F255" s="4" t="str">
        <f t="shared" si="13"/>
        <v>2AFC</v>
      </c>
      <c r="G255" s="5" t="s">
        <v>738</v>
      </c>
      <c r="H255" s="5" t="s">
        <v>2153</v>
      </c>
      <c r="I255" s="4" t="s">
        <v>4</v>
      </c>
    </row>
    <row r="256" spans="2:9" ht="17.100000000000001" customHeight="1" x14ac:dyDescent="0.3">
      <c r="B256" s="19"/>
      <c r="C256" s="17"/>
      <c r="D256" s="4">
        <v>252</v>
      </c>
      <c r="E256" s="4">
        <v>11008</v>
      </c>
      <c r="F256" s="4" t="str">
        <f t="shared" si="13"/>
        <v>2B00</v>
      </c>
      <c r="G256" s="5" t="s">
        <v>739</v>
      </c>
      <c r="H256" s="5" t="s">
        <v>2154</v>
      </c>
      <c r="I256" s="4" t="s">
        <v>4</v>
      </c>
    </row>
    <row r="257" spans="2:9" ht="17.100000000000001" customHeight="1" x14ac:dyDescent="0.3">
      <c r="B257" s="19"/>
      <c r="C257" s="17"/>
      <c r="D257" s="4">
        <v>253</v>
      </c>
      <c r="E257" s="4">
        <v>11012</v>
      </c>
      <c r="F257" s="4" t="str">
        <f t="shared" si="13"/>
        <v>2B04</v>
      </c>
      <c r="G257" s="5" t="s">
        <v>740</v>
      </c>
      <c r="H257" s="5" t="s">
        <v>2155</v>
      </c>
      <c r="I257" s="4" t="s">
        <v>4</v>
      </c>
    </row>
    <row r="258" spans="2:9" ht="17.100000000000001" customHeight="1" x14ac:dyDescent="0.3">
      <c r="B258" s="19"/>
      <c r="C258" s="17"/>
      <c r="D258" s="4">
        <v>254</v>
      </c>
      <c r="E258" s="4">
        <v>11016</v>
      </c>
      <c r="F258" s="4" t="str">
        <f t="shared" si="13"/>
        <v>2B08</v>
      </c>
      <c r="G258" s="5" t="s">
        <v>741</v>
      </c>
      <c r="H258" s="5" t="s">
        <v>2156</v>
      </c>
      <c r="I258" s="4" t="s">
        <v>4</v>
      </c>
    </row>
    <row r="259" spans="2:9" ht="17.100000000000001" customHeight="1" x14ac:dyDescent="0.3">
      <c r="B259" s="19"/>
      <c r="C259" s="17"/>
      <c r="D259" s="4">
        <v>255</v>
      </c>
      <c r="E259" s="4">
        <v>11020</v>
      </c>
      <c r="F259" s="4" t="str">
        <f t="shared" si="13"/>
        <v>2B0C</v>
      </c>
      <c r="G259" s="6" t="str">
        <f t="shared" ref="G259:G263" si="17">"pUmem_Sta_TBD_"&amp;F259</f>
        <v>pUmem_Sta_TBD_2B0C</v>
      </c>
      <c r="H259" s="6"/>
      <c r="I259" s="7"/>
    </row>
    <row r="260" spans="2:9" ht="17.100000000000001" customHeight="1" x14ac:dyDescent="0.3">
      <c r="B260" s="19"/>
      <c r="C260" s="17"/>
      <c r="D260" s="4">
        <v>256</v>
      </c>
      <c r="E260" s="4">
        <v>11024</v>
      </c>
      <c r="F260" s="4" t="str">
        <f t="shared" si="13"/>
        <v>2B10</v>
      </c>
      <c r="G260" s="6" t="str">
        <f t="shared" si="17"/>
        <v>pUmem_Sta_TBD_2B10</v>
      </c>
      <c r="H260" s="6"/>
      <c r="I260" s="7"/>
    </row>
    <row r="261" spans="2:9" ht="17.100000000000001" customHeight="1" x14ac:dyDescent="0.3">
      <c r="B261" s="19"/>
      <c r="C261" s="17"/>
      <c r="D261" s="4">
        <v>257</v>
      </c>
      <c r="E261" s="4">
        <v>11028</v>
      </c>
      <c r="F261" s="4" t="str">
        <f t="shared" si="13"/>
        <v>2B14</v>
      </c>
      <c r="G261" s="6" t="str">
        <f t="shared" si="17"/>
        <v>pUmem_Sta_TBD_2B14</v>
      </c>
      <c r="H261" s="6"/>
      <c r="I261" s="7"/>
    </row>
    <row r="262" spans="2:9" ht="17.100000000000001" customHeight="1" x14ac:dyDescent="0.3">
      <c r="B262" s="19"/>
      <c r="C262" s="17"/>
      <c r="D262" s="4">
        <v>258</v>
      </c>
      <c r="E262" s="4">
        <v>11032</v>
      </c>
      <c r="F262" s="4" t="str">
        <f t="shared" si="13"/>
        <v>2B18</v>
      </c>
      <c r="G262" s="6" t="str">
        <f t="shared" si="17"/>
        <v>pUmem_Sta_TBD_2B18</v>
      </c>
      <c r="H262" s="6"/>
      <c r="I262" s="7"/>
    </row>
    <row r="263" spans="2:9" ht="17.100000000000001" customHeight="1" x14ac:dyDescent="0.3">
      <c r="B263" s="19"/>
      <c r="C263" s="17"/>
      <c r="D263" s="4">
        <v>259</v>
      </c>
      <c r="E263" s="4">
        <v>11036</v>
      </c>
      <c r="F263" s="4" t="str">
        <f t="shared" ref="F263:F326" si="18">DEC2HEX(E263)</f>
        <v>2B1C</v>
      </c>
      <c r="G263" s="6" t="str">
        <f t="shared" si="17"/>
        <v>pUmem_Sta_TBD_2B1C</v>
      </c>
      <c r="H263" s="6"/>
      <c r="I263" s="7"/>
    </row>
    <row r="264" spans="2:9" ht="17.100000000000001" customHeight="1" x14ac:dyDescent="0.3">
      <c r="B264" s="19"/>
      <c r="C264" s="17" t="s">
        <v>288</v>
      </c>
      <c r="D264" s="4">
        <v>260</v>
      </c>
      <c r="E264" s="4">
        <v>11040</v>
      </c>
      <c r="F264" s="4" t="str">
        <f t="shared" si="18"/>
        <v>2B20</v>
      </c>
      <c r="G264" s="5" t="s">
        <v>742</v>
      </c>
      <c r="H264" s="5" t="s">
        <v>2143</v>
      </c>
      <c r="I264" s="4" t="s">
        <v>14</v>
      </c>
    </row>
    <row r="265" spans="2:9" ht="17.100000000000001" customHeight="1" x14ac:dyDescent="0.3">
      <c r="B265" s="19"/>
      <c r="C265" s="17"/>
      <c r="D265" s="4">
        <v>261</v>
      </c>
      <c r="E265" s="4">
        <v>11044</v>
      </c>
      <c r="F265" s="4" t="str">
        <f t="shared" si="18"/>
        <v>2B24</v>
      </c>
      <c r="G265" s="5" t="s">
        <v>743</v>
      </c>
      <c r="H265" s="5" t="s">
        <v>2144</v>
      </c>
      <c r="I265" s="4" t="s">
        <v>14</v>
      </c>
    </row>
    <row r="266" spans="2:9" ht="17.100000000000001" customHeight="1" x14ac:dyDescent="0.3">
      <c r="B266" s="19"/>
      <c r="C266" s="17"/>
      <c r="D266" s="4">
        <v>262</v>
      </c>
      <c r="E266" s="4">
        <v>11048</v>
      </c>
      <c r="F266" s="4" t="str">
        <f t="shared" si="18"/>
        <v>2B28</v>
      </c>
      <c r="G266" s="5" t="s">
        <v>744</v>
      </c>
      <c r="H266" s="5" t="s">
        <v>2145</v>
      </c>
      <c r="I266" s="4" t="s">
        <v>15</v>
      </c>
    </row>
    <row r="267" spans="2:9" ht="17.100000000000001" customHeight="1" x14ac:dyDescent="0.3">
      <c r="B267" s="19"/>
      <c r="C267" s="17"/>
      <c r="D267" s="4">
        <v>263</v>
      </c>
      <c r="E267" s="4">
        <v>11052</v>
      </c>
      <c r="F267" s="4" t="str">
        <f t="shared" si="18"/>
        <v>2B2C</v>
      </c>
      <c r="G267" s="5" t="s">
        <v>745</v>
      </c>
      <c r="H267" s="5" t="s">
        <v>2146</v>
      </c>
      <c r="I267" s="12">
        <v>1E-3</v>
      </c>
    </row>
    <row r="268" spans="2:9" ht="17.100000000000001" customHeight="1" x14ac:dyDescent="0.3">
      <c r="B268" s="19"/>
      <c r="C268" s="17"/>
      <c r="D268" s="4">
        <v>264</v>
      </c>
      <c r="E268" s="4">
        <v>11056</v>
      </c>
      <c r="F268" s="4" t="str">
        <f t="shared" si="18"/>
        <v>2B30</v>
      </c>
      <c r="G268" s="5" t="s">
        <v>746</v>
      </c>
      <c r="H268" s="5" t="s">
        <v>2147</v>
      </c>
      <c r="I268" s="4" t="s">
        <v>5</v>
      </c>
    </row>
    <row r="269" spans="2:9" ht="17.100000000000001" customHeight="1" x14ac:dyDescent="0.3">
      <c r="B269" s="19"/>
      <c r="C269" s="17"/>
      <c r="D269" s="4">
        <v>265</v>
      </c>
      <c r="E269" s="4">
        <v>11060</v>
      </c>
      <c r="F269" s="4" t="str">
        <f t="shared" si="18"/>
        <v>2B34</v>
      </c>
      <c r="G269" s="5" t="s">
        <v>747</v>
      </c>
      <c r="H269" s="5" t="s">
        <v>180</v>
      </c>
      <c r="I269" s="4" t="s">
        <v>5</v>
      </c>
    </row>
    <row r="270" spans="2:9" ht="17.100000000000001" customHeight="1" x14ac:dyDescent="0.3">
      <c r="B270" s="19"/>
      <c r="C270" s="17"/>
      <c r="D270" s="4">
        <v>266</v>
      </c>
      <c r="E270" s="4">
        <v>11064</v>
      </c>
      <c r="F270" s="4" t="str">
        <f t="shared" si="18"/>
        <v>2B38</v>
      </c>
      <c r="G270" s="5" t="s">
        <v>748</v>
      </c>
      <c r="H270" s="5" t="s">
        <v>2148</v>
      </c>
      <c r="I270" s="4" t="s">
        <v>4</v>
      </c>
    </row>
    <row r="271" spans="2:9" ht="17.100000000000001" customHeight="1" x14ac:dyDescent="0.3">
      <c r="B271" s="19"/>
      <c r="C271" s="17"/>
      <c r="D271" s="4">
        <v>267</v>
      </c>
      <c r="E271" s="4">
        <v>11068</v>
      </c>
      <c r="F271" s="4" t="str">
        <f t="shared" si="18"/>
        <v>2B3C</v>
      </c>
      <c r="G271" s="5" t="s">
        <v>749</v>
      </c>
      <c r="H271" s="5" t="s">
        <v>2149</v>
      </c>
      <c r="I271" s="4" t="s">
        <v>4</v>
      </c>
    </row>
    <row r="272" spans="2:9" ht="17.100000000000001" customHeight="1" x14ac:dyDescent="0.3">
      <c r="B272" s="19"/>
      <c r="C272" s="17"/>
      <c r="D272" s="4">
        <v>268</v>
      </c>
      <c r="E272" s="4">
        <v>11072</v>
      </c>
      <c r="F272" s="4" t="str">
        <f t="shared" si="18"/>
        <v>2B40</v>
      </c>
      <c r="G272" s="5" t="s">
        <v>750</v>
      </c>
      <c r="H272" s="5" t="s">
        <v>2150</v>
      </c>
      <c r="I272" s="4" t="s">
        <v>4</v>
      </c>
    </row>
    <row r="273" spans="2:9" ht="17.100000000000001" customHeight="1" x14ac:dyDescent="0.3">
      <c r="B273" s="19"/>
      <c r="C273" s="17"/>
      <c r="D273" s="4">
        <v>269</v>
      </c>
      <c r="E273" s="4">
        <v>11076</v>
      </c>
      <c r="F273" s="4" t="str">
        <f t="shared" si="18"/>
        <v>2B44</v>
      </c>
      <c r="G273" s="5" t="s">
        <v>751</v>
      </c>
      <c r="H273" s="5" t="s">
        <v>2151</v>
      </c>
      <c r="I273" s="4" t="s">
        <v>4</v>
      </c>
    </row>
    <row r="274" spans="2:9" ht="17.100000000000001" customHeight="1" x14ac:dyDescent="0.3">
      <c r="B274" s="19"/>
      <c r="C274" s="17"/>
      <c r="D274" s="4">
        <v>270</v>
      </c>
      <c r="E274" s="4">
        <v>11080</v>
      </c>
      <c r="F274" s="4" t="str">
        <f t="shared" si="18"/>
        <v>2B48</v>
      </c>
      <c r="G274" s="5" t="s">
        <v>752</v>
      </c>
      <c r="H274" s="5" t="s">
        <v>2152</v>
      </c>
      <c r="I274" s="4" t="s">
        <v>4</v>
      </c>
    </row>
    <row r="275" spans="2:9" ht="17.100000000000001" customHeight="1" x14ac:dyDescent="0.3">
      <c r="B275" s="19"/>
      <c r="C275" s="17"/>
      <c r="D275" s="4">
        <v>271</v>
      </c>
      <c r="E275" s="4">
        <v>11084</v>
      </c>
      <c r="F275" s="4" t="str">
        <f t="shared" si="18"/>
        <v>2B4C</v>
      </c>
      <c r="G275" s="5" t="s">
        <v>753</v>
      </c>
      <c r="H275" s="5" t="s">
        <v>2153</v>
      </c>
      <c r="I275" s="4" t="s">
        <v>4</v>
      </c>
    </row>
    <row r="276" spans="2:9" ht="17.100000000000001" customHeight="1" x14ac:dyDescent="0.3">
      <c r="B276" s="19"/>
      <c r="C276" s="17"/>
      <c r="D276" s="4">
        <v>272</v>
      </c>
      <c r="E276" s="4">
        <v>11088</v>
      </c>
      <c r="F276" s="4" t="str">
        <f t="shared" si="18"/>
        <v>2B50</v>
      </c>
      <c r="G276" s="5" t="s">
        <v>754</v>
      </c>
      <c r="H276" s="5" t="s">
        <v>2154</v>
      </c>
      <c r="I276" s="4" t="s">
        <v>4</v>
      </c>
    </row>
    <row r="277" spans="2:9" ht="17.100000000000001" customHeight="1" x14ac:dyDescent="0.3">
      <c r="B277" s="19"/>
      <c r="C277" s="17"/>
      <c r="D277" s="4">
        <v>273</v>
      </c>
      <c r="E277" s="4">
        <v>11092</v>
      </c>
      <c r="F277" s="4" t="str">
        <f t="shared" si="18"/>
        <v>2B54</v>
      </c>
      <c r="G277" s="5" t="s">
        <v>755</v>
      </c>
      <c r="H277" s="5" t="s">
        <v>2155</v>
      </c>
      <c r="I277" s="4" t="s">
        <v>4</v>
      </c>
    </row>
    <row r="278" spans="2:9" ht="17.100000000000001" customHeight="1" x14ac:dyDescent="0.3">
      <c r="B278" s="19"/>
      <c r="C278" s="17"/>
      <c r="D278" s="4">
        <v>274</v>
      </c>
      <c r="E278" s="4">
        <v>11096</v>
      </c>
      <c r="F278" s="4" t="str">
        <f t="shared" si="18"/>
        <v>2B58</v>
      </c>
      <c r="G278" s="5" t="s">
        <v>756</v>
      </c>
      <c r="H278" s="5" t="s">
        <v>2156</v>
      </c>
      <c r="I278" s="4" t="s">
        <v>4</v>
      </c>
    </row>
    <row r="279" spans="2:9" ht="17.100000000000001" customHeight="1" x14ac:dyDescent="0.3">
      <c r="B279" s="19"/>
      <c r="C279" s="17"/>
      <c r="D279" s="4">
        <v>275</v>
      </c>
      <c r="E279" s="4">
        <v>11100</v>
      </c>
      <c r="F279" s="4" t="str">
        <f t="shared" si="18"/>
        <v>2B5C</v>
      </c>
      <c r="G279" s="6" t="str">
        <f t="shared" ref="G279:G283" si="19">"pUmem_Sta_TBD_"&amp;F279</f>
        <v>pUmem_Sta_TBD_2B5C</v>
      </c>
      <c r="H279" s="6"/>
      <c r="I279" s="7"/>
    </row>
    <row r="280" spans="2:9" ht="17.100000000000001" customHeight="1" x14ac:dyDescent="0.3">
      <c r="B280" s="19"/>
      <c r="C280" s="17"/>
      <c r="D280" s="4">
        <v>276</v>
      </c>
      <c r="E280" s="4">
        <v>11104</v>
      </c>
      <c r="F280" s="4" t="str">
        <f t="shared" si="18"/>
        <v>2B60</v>
      </c>
      <c r="G280" s="6" t="str">
        <f t="shared" si="19"/>
        <v>pUmem_Sta_TBD_2B60</v>
      </c>
      <c r="H280" s="6"/>
      <c r="I280" s="7"/>
    </row>
    <row r="281" spans="2:9" ht="17.100000000000001" customHeight="1" x14ac:dyDescent="0.3">
      <c r="B281" s="19"/>
      <c r="C281" s="17"/>
      <c r="D281" s="4">
        <v>277</v>
      </c>
      <c r="E281" s="4">
        <v>11108</v>
      </c>
      <c r="F281" s="4" t="str">
        <f t="shared" si="18"/>
        <v>2B64</v>
      </c>
      <c r="G281" s="6" t="str">
        <f t="shared" si="19"/>
        <v>pUmem_Sta_TBD_2B64</v>
      </c>
      <c r="H281" s="6"/>
      <c r="I281" s="7"/>
    </row>
    <row r="282" spans="2:9" ht="17.100000000000001" customHeight="1" x14ac:dyDescent="0.3">
      <c r="B282" s="19"/>
      <c r="C282" s="17"/>
      <c r="D282" s="4">
        <v>278</v>
      </c>
      <c r="E282" s="4">
        <v>11112</v>
      </c>
      <c r="F282" s="4" t="str">
        <f t="shared" si="18"/>
        <v>2B68</v>
      </c>
      <c r="G282" s="6" t="str">
        <f t="shared" si="19"/>
        <v>pUmem_Sta_TBD_2B68</v>
      </c>
      <c r="H282" s="6"/>
      <c r="I282" s="7"/>
    </row>
    <row r="283" spans="2:9" ht="17.100000000000001" customHeight="1" x14ac:dyDescent="0.3">
      <c r="B283" s="19"/>
      <c r="C283" s="17"/>
      <c r="D283" s="4">
        <v>279</v>
      </c>
      <c r="E283" s="4">
        <v>11116</v>
      </c>
      <c r="F283" s="4" t="str">
        <f t="shared" si="18"/>
        <v>2B6C</v>
      </c>
      <c r="G283" s="6" t="str">
        <f t="shared" si="19"/>
        <v>pUmem_Sta_TBD_2B6C</v>
      </c>
      <c r="H283" s="6"/>
      <c r="I283" s="7"/>
    </row>
    <row r="284" spans="2:9" ht="17.100000000000001" customHeight="1" x14ac:dyDescent="0.3">
      <c r="B284" s="19"/>
      <c r="C284" s="17" t="s">
        <v>289</v>
      </c>
      <c r="D284" s="4">
        <v>280</v>
      </c>
      <c r="E284" s="4">
        <v>11120</v>
      </c>
      <c r="F284" s="4" t="str">
        <f t="shared" si="18"/>
        <v>2B70</v>
      </c>
      <c r="G284" s="5" t="s">
        <v>757</v>
      </c>
      <c r="H284" s="5" t="s">
        <v>2143</v>
      </c>
      <c r="I284" s="4" t="s">
        <v>14</v>
      </c>
    </row>
    <row r="285" spans="2:9" ht="17.100000000000001" customHeight="1" x14ac:dyDescent="0.3">
      <c r="B285" s="19"/>
      <c r="C285" s="17"/>
      <c r="D285" s="4">
        <v>281</v>
      </c>
      <c r="E285" s="4">
        <v>11124</v>
      </c>
      <c r="F285" s="4" t="str">
        <f t="shared" si="18"/>
        <v>2B74</v>
      </c>
      <c r="G285" s="5" t="s">
        <v>758</v>
      </c>
      <c r="H285" s="5" t="s">
        <v>2144</v>
      </c>
      <c r="I285" s="4" t="s">
        <v>14</v>
      </c>
    </row>
    <row r="286" spans="2:9" ht="17.100000000000001" customHeight="1" x14ac:dyDescent="0.3">
      <c r="B286" s="19"/>
      <c r="C286" s="17"/>
      <c r="D286" s="4">
        <v>282</v>
      </c>
      <c r="E286" s="4">
        <v>11128</v>
      </c>
      <c r="F286" s="4" t="str">
        <f t="shared" si="18"/>
        <v>2B78</v>
      </c>
      <c r="G286" s="5" t="s">
        <v>759</v>
      </c>
      <c r="H286" s="5" t="s">
        <v>2145</v>
      </c>
      <c r="I286" s="4" t="s">
        <v>15</v>
      </c>
    </row>
    <row r="287" spans="2:9" ht="17.100000000000001" customHeight="1" x14ac:dyDescent="0.3">
      <c r="B287" s="19"/>
      <c r="C287" s="17"/>
      <c r="D287" s="4">
        <v>283</v>
      </c>
      <c r="E287" s="4">
        <v>11132</v>
      </c>
      <c r="F287" s="4" t="str">
        <f t="shared" si="18"/>
        <v>2B7C</v>
      </c>
      <c r="G287" s="5" t="s">
        <v>760</v>
      </c>
      <c r="H287" s="5" t="s">
        <v>2146</v>
      </c>
      <c r="I287" s="12">
        <v>1E-3</v>
      </c>
    </row>
    <row r="288" spans="2:9" ht="17.100000000000001" customHeight="1" x14ac:dyDescent="0.3">
      <c r="B288" s="19"/>
      <c r="C288" s="17"/>
      <c r="D288" s="4">
        <v>284</v>
      </c>
      <c r="E288" s="4">
        <v>11136</v>
      </c>
      <c r="F288" s="4" t="str">
        <f t="shared" si="18"/>
        <v>2B80</v>
      </c>
      <c r="G288" s="5" t="s">
        <v>761</v>
      </c>
      <c r="H288" s="5" t="s">
        <v>2147</v>
      </c>
      <c r="I288" s="4" t="s">
        <v>5</v>
      </c>
    </row>
    <row r="289" spans="2:9" ht="17.100000000000001" customHeight="1" x14ac:dyDescent="0.3">
      <c r="B289" s="19"/>
      <c r="C289" s="17"/>
      <c r="D289" s="4">
        <v>285</v>
      </c>
      <c r="E289" s="4">
        <v>11140</v>
      </c>
      <c r="F289" s="4" t="str">
        <f t="shared" si="18"/>
        <v>2B84</v>
      </c>
      <c r="G289" s="5" t="s">
        <v>762</v>
      </c>
      <c r="H289" s="5" t="s">
        <v>180</v>
      </c>
      <c r="I289" s="4" t="s">
        <v>5</v>
      </c>
    </row>
    <row r="290" spans="2:9" ht="17.100000000000001" customHeight="1" x14ac:dyDescent="0.3">
      <c r="B290" s="19"/>
      <c r="C290" s="17"/>
      <c r="D290" s="4">
        <v>286</v>
      </c>
      <c r="E290" s="4">
        <v>11144</v>
      </c>
      <c r="F290" s="4" t="str">
        <f t="shared" si="18"/>
        <v>2B88</v>
      </c>
      <c r="G290" s="5" t="s">
        <v>763</v>
      </c>
      <c r="H290" s="5" t="s">
        <v>2148</v>
      </c>
      <c r="I290" s="4" t="s">
        <v>4</v>
      </c>
    </row>
    <row r="291" spans="2:9" ht="17.100000000000001" customHeight="1" x14ac:dyDescent="0.3">
      <c r="B291" s="19"/>
      <c r="C291" s="17"/>
      <c r="D291" s="4">
        <v>287</v>
      </c>
      <c r="E291" s="4">
        <v>11148</v>
      </c>
      <c r="F291" s="4" t="str">
        <f t="shared" si="18"/>
        <v>2B8C</v>
      </c>
      <c r="G291" s="5" t="s">
        <v>764</v>
      </c>
      <c r="H291" s="5" t="s">
        <v>2149</v>
      </c>
      <c r="I291" s="4" t="s">
        <v>4</v>
      </c>
    </row>
    <row r="292" spans="2:9" ht="17.100000000000001" customHeight="1" x14ac:dyDescent="0.3">
      <c r="B292" s="19"/>
      <c r="C292" s="17"/>
      <c r="D292" s="4">
        <v>288</v>
      </c>
      <c r="E292" s="4">
        <v>11152</v>
      </c>
      <c r="F292" s="4" t="str">
        <f t="shared" si="18"/>
        <v>2B90</v>
      </c>
      <c r="G292" s="5" t="s">
        <v>765</v>
      </c>
      <c r="H292" s="5" t="s">
        <v>2150</v>
      </c>
      <c r="I292" s="4" t="s">
        <v>4</v>
      </c>
    </row>
    <row r="293" spans="2:9" ht="17.100000000000001" customHeight="1" x14ac:dyDescent="0.3">
      <c r="B293" s="19"/>
      <c r="C293" s="17"/>
      <c r="D293" s="4">
        <v>289</v>
      </c>
      <c r="E293" s="4">
        <v>11156</v>
      </c>
      <c r="F293" s="4" t="str">
        <f t="shared" si="18"/>
        <v>2B94</v>
      </c>
      <c r="G293" s="5" t="s">
        <v>766</v>
      </c>
      <c r="H293" s="5" t="s">
        <v>2151</v>
      </c>
      <c r="I293" s="4" t="s">
        <v>4</v>
      </c>
    </row>
    <row r="294" spans="2:9" ht="17.100000000000001" customHeight="1" x14ac:dyDescent="0.3">
      <c r="B294" s="19"/>
      <c r="C294" s="17"/>
      <c r="D294" s="4">
        <v>290</v>
      </c>
      <c r="E294" s="4">
        <v>11160</v>
      </c>
      <c r="F294" s="4" t="str">
        <f t="shared" si="18"/>
        <v>2B98</v>
      </c>
      <c r="G294" s="5" t="s">
        <v>767</v>
      </c>
      <c r="H294" s="5" t="s">
        <v>2152</v>
      </c>
      <c r="I294" s="4" t="s">
        <v>4</v>
      </c>
    </row>
    <row r="295" spans="2:9" ht="17.100000000000001" customHeight="1" x14ac:dyDescent="0.3">
      <c r="B295" s="19"/>
      <c r="C295" s="17"/>
      <c r="D295" s="4">
        <v>291</v>
      </c>
      <c r="E295" s="4">
        <v>11164</v>
      </c>
      <c r="F295" s="4" t="str">
        <f t="shared" si="18"/>
        <v>2B9C</v>
      </c>
      <c r="G295" s="5" t="s">
        <v>768</v>
      </c>
      <c r="H295" s="5" t="s">
        <v>2153</v>
      </c>
      <c r="I295" s="4" t="s">
        <v>4</v>
      </c>
    </row>
    <row r="296" spans="2:9" ht="17.100000000000001" customHeight="1" x14ac:dyDescent="0.3">
      <c r="B296" s="19"/>
      <c r="C296" s="17"/>
      <c r="D296" s="4">
        <v>292</v>
      </c>
      <c r="E296" s="4">
        <v>11168</v>
      </c>
      <c r="F296" s="4" t="str">
        <f t="shared" si="18"/>
        <v>2BA0</v>
      </c>
      <c r="G296" s="5" t="s">
        <v>769</v>
      </c>
      <c r="H296" s="5" t="s">
        <v>2154</v>
      </c>
      <c r="I296" s="4" t="s">
        <v>4</v>
      </c>
    </row>
    <row r="297" spans="2:9" ht="17.100000000000001" customHeight="1" x14ac:dyDescent="0.3">
      <c r="B297" s="19"/>
      <c r="C297" s="17"/>
      <c r="D297" s="4">
        <v>293</v>
      </c>
      <c r="E297" s="4">
        <v>11172</v>
      </c>
      <c r="F297" s="4" t="str">
        <f t="shared" si="18"/>
        <v>2BA4</v>
      </c>
      <c r="G297" s="5" t="s">
        <v>770</v>
      </c>
      <c r="H297" s="5" t="s">
        <v>2155</v>
      </c>
      <c r="I297" s="4" t="s">
        <v>4</v>
      </c>
    </row>
    <row r="298" spans="2:9" ht="17.100000000000001" customHeight="1" x14ac:dyDescent="0.3">
      <c r="B298" s="19"/>
      <c r="C298" s="17"/>
      <c r="D298" s="4">
        <v>294</v>
      </c>
      <c r="E298" s="4">
        <v>11176</v>
      </c>
      <c r="F298" s="4" t="str">
        <f t="shared" si="18"/>
        <v>2BA8</v>
      </c>
      <c r="G298" s="5" t="s">
        <v>771</v>
      </c>
      <c r="H298" s="5" t="s">
        <v>2156</v>
      </c>
      <c r="I298" s="4" t="s">
        <v>4</v>
      </c>
    </row>
    <row r="299" spans="2:9" ht="17.100000000000001" customHeight="1" x14ac:dyDescent="0.3">
      <c r="B299" s="19"/>
      <c r="C299" s="17"/>
      <c r="D299" s="4">
        <v>295</v>
      </c>
      <c r="E299" s="4">
        <v>11180</v>
      </c>
      <c r="F299" s="4" t="str">
        <f t="shared" si="18"/>
        <v>2BAC</v>
      </c>
      <c r="G299" s="6" t="str">
        <f t="shared" ref="G299:G303" si="20">"pUmem_Sta_TBD_"&amp;F299</f>
        <v>pUmem_Sta_TBD_2BAC</v>
      </c>
      <c r="H299" s="6"/>
      <c r="I299" s="7"/>
    </row>
    <row r="300" spans="2:9" ht="17.100000000000001" customHeight="1" x14ac:dyDescent="0.3">
      <c r="B300" s="19"/>
      <c r="C300" s="17"/>
      <c r="D300" s="4">
        <v>296</v>
      </c>
      <c r="E300" s="4">
        <v>11184</v>
      </c>
      <c r="F300" s="4" t="str">
        <f t="shared" si="18"/>
        <v>2BB0</v>
      </c>
      <c r="G300" s="6" t="str">
        <f t="shared" si="20"/>
        <v>pUmem_Sta_TBD_2BB0</v>
      </c>
      <c r="H300" s="6"/>
      <c r="I300" s="7"/>
    </row>
    <row r="301" spans="2:9" ht="17.100000000000001" customHeight="1" x14ac:dyDescent="0.3">
      <c r="B301" s="19"/>
      <c r="C301" s="17"/>
      <c r="D301" s="4">
        <v>297</v>
      </c>
      <c r="E301" s="4">
        <v>11188</v>
      </c>
      <c r="F301" s="4" t="str">
        <f t="shared" si="18"/>
        <v>2BB4</v>
      </c>
      <c r="G301" s="6" t="str">
        <f t="shared" si="20"/>
        <v>pUmem_Sta_TBD_2BB4</v>
      </c>
      <c r="H301" s="6"/>
      <c r="I301" s="7"/>
    </row>
    <row r="302" spans="2:9" ht="17.100000000000001" customHeight="1" x14ac:dyDescent="0.3">
      <c r="B302" s="19"/>
      <c r="C302" s="17"/>
      <c r="D302" s="4">
        <v>298</v>
      </c>
      <c r="E302" s="4">
        <v>11192</v>
      </c>
      <c r="F302" s="4" t="str">
        <f t="shared" si="18"/>
        <v>2BB8</v>
      </c>
      <c r="G302" s="6" t="str">
        <f t="shared" si="20"/>
        <v>pUmem_Sta_TBD_2BB8</v>
      </c>
      <c r="H302" s="6"/>
      <c r="I302" s="7"/>
    </row>
    <row r="303" spans="2:9" ht="17.100000000000001" customHeight="1" x14ac:dyDescent="0.3">
      <c r="B303" s="19"/>
      <c r="C303" s="17"/>
      <c r="D303" s="4">
        <v>299</v>
      </c>
      <c r="E303" s="4">
        <v>11196</v>
      </c>
      <c r="F303" s="4" t="str">
        <f t="shared" si="18"/>
        <v>2BBC</v>
      </c>
      <c r="G303" s="6" t="str">
        <f t="shared" si="20"/>
        <v>pUmem_Sta_TBD_2BBC</v>
      </c>
      <c r="H303" s="6"/>
      <c r="I303" s="7"/>
    </row>
    <row r="304" spans="2:9" ht="17.100000000000001" customHeight="1" x14ac:dyDescent="0.3">
      <c r="B304" s="19"/>
      <c r="C304" s="17" t="s">
        <v>290</v>
      </c>
      <c r="D304" s="4">
        <v>300</v>
      </c>
      <c r="E304" s="4">
        <v>11200</v>
      </c>
      <c r="F304" s="4" t="str">
        <f t="shared" si="18"/>
        <v>2BC0</v>
      </c>
      <c r="G304" s="5" t="s">
        <v>772</v>
      </c>
      <c r="H304" s="5" t="s">
        <v>2143</v>
      </c>
      <c r="I304" s="4" t="s">
        <v>14</v>
      </c>
    </row>
    <row r="305" spans="2:9" ht="17.100000000000001" customHeight="1" x14ac:dyDescent="0.3">
      <c r="B305" s="19"/>
      <c r="C305" s="17"/>
      <c r="D305" s="4">
        <v>301</v>
      </c>
      <c r="E305" s="4">
        <v>11204</v>
      </c>
      <c r="F305" s="4" t="str">
        <f t="shared" si="18"/>
        <v>2BC4</v>
      </c>
      <c r="G305" s="5" t="s">
        <v>773</v>
      </c>
      <c r="H305" s="5" t="s">
        <v>2144</v>
      </c>
      <c r="I305" s="4" t="s">
        <v>14</v>
      </c>
    </row>
    <row r="306" spans="2:9" ht="17.100000000000001" customHeight="1" x14ac:dyDescent="0.3">
      <c r="B306" s="19"/>
      <c r="C306" s="17"/>
      <c r="D306" s="4">
        <v>302</v>
      </c>
      <c r="E306" s="4">
        <v>11208</v>
      </c>
      <c r="F306" s="4" t="str">
        <f t="shared" si="18"/>
        <v>2BC8</v>
      </c>
      <c r="G306" s="5" t="s">
        <v>774</v>
      </c>
      <c r="H306" s="5" t="s">
        <v>2145</v>
      </c>
      <c r="I306" s="4" t="s">
        <v>15</v>
      </c>
    </row>
    <row r="307" spans="2:9" ht="17.100000000000001" customHeight="1" x14ac:dyDescent="0.3">
      <c r="B307" s="19"/>
      <c r="C307" s="17"/>
      <c r="D307" s="4">
        <v>303</v>
      </c>
      <c r="E307" s="4">
        <v>11212</v>
      </c>
      <c r="F307" s="4" t="str">
        <f t="shared" si="18"/>
        <v>2BCC</v>
      </c>
      <c r="G307" s="5" t="s">
        <v>775</v>
      </c>
      <c r="H307" s="5" t="s">
        <v>2146</v>
      </c>
      <c r="I307" s="12">
        <v>1E-3</v>
      </c>
    </row>
    <row r="308" spans="2:9" ht="17.100000000000001" customHeight="1" x14ac:dyDescent="0.3">
      <c r="B308" s="19"/>
      <c r="C308" s="17"/>
      <c r="D308" s="4">
        <v>304</v>
      </c>
      <c r="E308" s="4">
        <v>11216</v>
      </c>
      <c r="F308" s="4" t="str">
        <f t="shared" si="18"/>
        <v>2BD0</v>
      </c>
      <c r="G308" s="5" t="s">
        <v>776</v>
      </c>
      <c r="H308" s="5" t="s">
        <v>2147</v>
      </c>
      <c r="I308" s="4" t="s">
        <v>5</v>
      </c>
    </row>
    <row r="309" spans="2:9" ht="17.100000000000001" customHeight="1" x14ac:dyDescent="0.3">
      <c r="B309" s="19"/>
      <c r="C309" s="17"/>
      <c r="D309" s="4">
        <v>305</v>
      </c>
      <c r="E309" s="4">
        <v>11220</v>
      </c>
      <c r="F309" s="4" t="str">
        <f t="shared" si="18"/>
        <v>2BD4</v>
      </c>
      <c r="G309" s="5" t="s">
        <v>777</v>
      </c>
      <c r="H309" s="5" t="s">
        <v>180</v>
      </c>
      <c r="I309" s="4" t="s">
        <v>5</v>
      </c>
    </row>
    <row r="310" spans="2:9" ht="17.100000000000001" customHeight="1" x14ac:dyDescent="0.3">
      <c r="B310" s="19"/>
      <c r="C310" s="17"/>
      <c r="D310" s="4">
        <v>306</v>
      </c>
      <c r="E310" s="4">
        <v>11224</v>
      </c>
      <c r="F310" s="4" t="str">
        <f t="shared" si="18"/>
        <v>2BD8</v>
      </c>
      <c r="G310" s="5" t="s">
        <v>778</v>
      </c>
      <c r="H310" s="5" t="s">
        <v>2148</v>
      </c>
      <c r="I310" s="4" t="s">
        <v>4</v>
      </c>
    </row>
    <row r="311" spans="2:9" ht="17.100000000000001" customHeight="1" x14ac:dyDescent="0.3">
      <c r="B311" s="19"/>
      <c r="C311" s="17"/>
      <c r="D311" s="4">
        <v>307</v>
      </c>
      <c r="E311" s="4">
        <v>11228</v>
      </c>
      <c r="F311" s="4" t="str">
        <f t="shared" si="18"/>
        <v>2BDC</v>
      </c>
      <c r="G311" s="5" t="s">
        <v>779</v>
      </c>
      <c r="H311" s="5" t="s">
        <v>2149</v>
      </c>
      <c r="I311" s="4" t="s">
        <v>4</v>
      </c>
    </row>
    <row r="312" spans="2:9" ht="17.100000000000001" customHeight="1" x14ac:dyDescent="0.3">
      <c r="B312" s="19"/>
      <c r="C312" s="17"/>
      <c r="D312" s="4">
        <v>308</v>
      </c>
      <c r="E312" s="4">
        <v>11232</v>
      </c>
      <c r="F312" s="4" t="str">
        <f t="shared" si="18"/>
        <v>2BE0</v>
      </c>
      <c r="G312" s="5" t="s">
        <v>780</v>
      </c>
      <c r="H312" s="5" t="s">
        <v>2150</v>
      </c>
      <c r="I312" s="4" t="s">
        <v>4</v>
      </c>
    </row>
    <row r="313" spans="2:9" ht="17.100000000000001" customHeight="1" x14ac:dyDescent="0.3">
      <c r="B313" s="19"/>
      <c r="C313" s="17"/>
      <c r="D313" s="4">
        <v>309</v>
      </c>
      <c r="E313" s="4">
        <v>11236</v>
      </c>
      <c r="F313" s="4" t="str">
        <f t="shared" si="18"/>
        <v>2BE4</v>
      </c>
      <c r="G313" s="5" t="s">
        <v>781</v>
      </c>
      <c r="H313" s="5" t="s">
        <v>2151</v>
      </c>
      <c r="I313" s="4" t="s">
        <v>4</v>
      </c>
    </row>
    <row r="314" spans="2:9" ht="17.100000000000001" customHeight="1" x14ac:dyDescent="0.3">
      <c r="B314" s="19"/>
      <c r="C314" s="17"/>
      <c r="D314" s="4">
        <v>310</v>
      </c>
      <c r="E314" s="4">
        <v>11240</v>
      </c>
      <c r="F314" s="4" t="str">
        <f t="shared" si="18"/>
        <v>2BE8</v>
      </c>
      <c r="G314" s="5" t="s">
        <v>782</v>
      </c>
      <c r="H314" s="5" t="s">
        <v>2152</v>
      </c>
      <c r="I314" s="4" t="s">
        <v>4</v>
      </c>
    </row>
    <row r="315" spans="2:9" ht="17.100000000000001" customHeight="1" x14ac:dyDescent="0.3">
      <c r="B315" s="19"/>
      <c r="C315" s="17"/>
      <c r="D315" s="4">
        <v>311</v>
      </c>
      <c r="E315" s="4">
        <v>11244</v>
      </c>
      <c r="F315" s="4" t="str">
        <f t="shared" si="18"/>
        <v>2BEC</v>
      </c>
      <c r="G315" s="5" t="s">
        <v>783</v>
      </c>
      <c r="H315" s="5" t="s">
        <v>2153</v>
      </c>
      <c r="I315" s="4" t="s">
        <v>4</v>
      </c>
    </row>
    <row r="316" spans="2:9" ht="17.100000000000001" customHeight="1" x14ac:dyDescent="0.3">
      <c r="B316" s="19"/>
      <c r="C316" s="17"/>
      <c r="D316" s="4">
        <v>312</v>
      </c>
      <c r="E316" s="4">
        <v>11248</v>
      </c>
      <c r="F316" s="4" t="str">
        <f t="shared" si="18"/>
        <v>2BF0</v>
      </c>
      <c r="G316" s="5" t="s">
        <v>784</v>
      </c>
      <c r="H316" s="5" t="s">
        <v>2154</v>
      </c>
      <c r="I316" s="4" t="s">
        <v>4</v>
      </c>
    </row>
    <row r="317" spans="2:9" ht="17.100000000000001" customHeight="1" x14ac:dyDescent="0.3">
      <c r="B317" s="19"/>
      <c r="C317" s="17"/>
      <c r="D317" s="4">
        <v>313</v>
      </c>
      <c r="E317" s="4">
        <v>11252</v>
      </c>
      <c r="F317" s="4" t="str">
        <f t="shared" si="18"/>
        <v>2BF4</v>
      </c>
      <c r="G317" s="5" t="s">
        <v>785</v>
      </c>
      <c r="H317" s="5" t="s">
        <v>2155</v>
      </c>
      <c r="I317" s="4" t="s">
        <v>4</v>
      </c>
    </row>
    <row r="318" spans="2:9" ht="17.100000000000001" customHeight="1" x14ac:dyDescent="0.3">
      <c r="B318" s="19"/>
      <c r="C318" s="17"/>
      <c r="D318" s="4">
        <v>314</v>
      </c>
      <c r="E318" s="4">
        <v>11256</v>
      </c>
      <c r="F318" s="4" t="str">
        <f t="shared" si="18"/>
        <v>2BF8</v>
      </c>
      <c r="G318" s="5" t="s">
        <v>786</v>
      </c>
      <c r="H318" s="5" t="s">
        <v>2156</v>
      </c>
      <c r="I318" s="4" t="s">
        <v>4</v>
      </c>
    </row>
    <row r="319" spans="2:9" ht="17.100000000000001" customHeight="1" x14ac:dyDescent="0.3">
      <c r="B319" s="19"/>
      <c r="C319" s="17"/>
      <c r="D319" s="4">
        <v>315</v>
      </c>
      <c r="E319" s="4">
        <v>11260</v>
      </c>
      <c r="F319" s="4" t="str">
        <f t="shared" si="18"/>
        <v>2BFC</v>
      </c>
      <c r="G319" s="6" t="str">
        <f t="shared" ref="G319:G323" si="21">"pUmem_Sta_TBD_"&amp;F319</f>
        <v>pUmem_Sta_TBD_2BFC</v>
      </c>
      <c r="H319" s="6"/>
      <c r="I319" s="7"/>
    </row>
    <row r="320" spans="2:9" ht="17.100000000000001" customHeight="1" x14ac:dyDescent="0.3">
      <c r="B320" s="19"/>
      <c r="C320" s="17"/>
      <c r="D320" s="4">
        <v>316</v>
      </c>
      <c r="E320" s="4">
        <v>11264</v>
      </c>
      <c r="F320" s="4" t="str">
        <f t="shared" si="18"/>
        <v>2C00</v>
      </c>
      <c r="G320" s="6" t="str">
        <f t="shared" si="21"/>
        <v>pUmem_Sta_TBD_2C00</v>
      </c>
      <c r="H320" s="6"/>
      <c r="I320" s="7"/>
    </row>
    <row r="321" spans="2:9" ht="17.100000000000001" customHeight="1" x14ac:dyDescent="0.3">
      <c r="B321" s="19"/>
      <c r="C321" s="17"/>
      <c r="D321" s="4">
        <v>317</v>
      </c>
      <c r="E321" s="4">
        <v>11268</v>
      </c>
      <c r="F321" s="4" t="str">
        <f t="shared" si="18"/>
        <v>2C04</v>
      </c>
      <c r="G321" s="6" t="str">
        <f t="shared" si="21"/>
        <v>pUmem_Sta_TBD_2C04</v>
      </c>
      <c r="H321" s="6"/>
      <c r="I321" s="7"/>
    </row>
    <row r="322" spans="2:9" ht="17.100000000000001" customHeight="1" x14ac:dyDescent="0.3">
      <c r="B322" s="19"/>
      <c r="C322" s="17"/>
      <c r="D322" s="4">
        <v>318</v>
      </c>
      <c r="E322" s="4">
        <v>11272</v>
      </c>
      <c r="F322" s="4" t="str">
        <f t="shared" si="18"/>
        <v>2C08</v>
      </c>
      <c r="G322" s="6" t="str">
        <f t="shared" si="21"/>
        <v>pUmem_Sta_TBD_2C08</v>
      </c>
      <c r="H322" s="6"/>
      <c r="I322" s="7"/>
    </row>
    <row r="323" spans="2:9" ht="17.100000000000001" customHeight="1" x14ac:dyDescent="0.3">
      <c r="B323" s="19"/>
      <c r="C323" s="17"/>
      <c r="D323" s="4">
        <v>319</v>
      </c>
      <c r="E323" s="4">
        <v>11276</v>
      </c>
      <c r="F323" s="4" t="str">
        <f t="shared" si="18"/>
        <v>2C0C</v>
      </c>
      <c r="G323" s="6" t="str">
        <f t="shared" si="21"/>
        <v>pUmem_Sta_TBD_2C0C</v>
      </c>
      <c r="H323" s="6"/>
      <c r="I323" s="7"/>
    </row>
    <row r="324" spans="2:9" ht="17.100000000000001" customHeight="1" x14ac:dyDescent="0.3">
      <c r="B324" s="19"/>
      <c r="C324" s="17" t="s">
        <v>291</v>
      </c>
      <c r="D324" s="4">
        <v>320</v>
      </c>
      <c r="E324" s="4">
        <v>11280</v>
      </c>
      <c r="F324" s="4" t="str">
        <f t="shared" si="18"/>
        <v>2C10</v>
      </c>
      <c r="G324" s="5" t="s">
        <v>787</v>
      </c>
      <c r="H324" s="5" t="s">
        <v>2143</v>
      </c>
      <c r="I324" s="4" t="s">
        <v>14</v>
      </c>
    </row>
    <row r="325" spans="2:9" ht="17.100000000000001" customHeight="1" x14ac:dyDescent="0.3">
      <c r="B325" s="19"/>
      <c r="C325" s="17"/>
      <c r="D325" s="4">
        <v>321</v>
      </c>
      <c r="E325" s="4">
        <v>11284</v>
      </c>
      <c r="F325" s="4" t="str">
        <f t="shared" si="18"/>
        <v>2C14</v>
      </c>
      <c r="G325" s="5" t="s">
        <v>788</v>
      </c>
      <c r="H325" s="5" t="s">
        <v>2144</v>
      </c>
      <c r="I325" s="4" t="s">
        <v>14</v>
      </c>
    </row>
    <row r="326" spans="2:9" ht="17.100000000000001" customHeight="1" x14ac:dyDescent="0.3">
      <c r="B326" s="19"/>
      <c r="C326" s="17"/>
      <c r="D326" s="4">
        <v>322</v>
      </c>
      <c r="E326" s="4">
        <v>11288</v>
      </c>
      <c r="F326" s="4" t="str">
        <f t="shared" si="18"/>
        <v>2C18</v>
      </c>
      <c r="G326" s="5" t="s">
        <v>789</v>
      </c>
      <c r="H326" s="5" t="s">
        <v>2145</v>
      </c>
      <c r="I326" s="4" t="s">
        <v>15</v>
      </c>
    </row>
    <row r="327" spans="2:9" ht="17.100000000000001" customHeight="1" x14ac:dyDescent="0.3">
      <c r="B327" s="19"/>
      <c r="C327" s="17"/>
      <c r="D327" s="4">
        <v>323</v>
      </c>
      <c r="E327" s="4">
        <v>11292</v>
      </c>
      <c r="F327" s="4" t="str">
        <f t="shared" ref="F327:F390" si="22">DEC2HEX(E327)</f>
        <v>2C1C</v>
      </c>
      <c r="G327" s="5" t="s">
        <v>790</v>
      </c>
      <c r="H327" s="5" t="s">
        <v>2146</v>
      </c>
      <c r="I327" s="12">
        <v>1E-3</v>
      </c>
    </row>
    <row r="328" spans="2:9" ht="17.100000000000001" customHeight="1" x14ac:dyDescent="0.3">
      <c r="B328" s="19"/>
      <c r="C328" s="17"/>
      <c r="D328" s="4">
        <v>324</v>
      </c>
      <c r="E328" s="4">
        <v>11296</v>
      </c>
      <c r="F328" s="4" t="str">
        <f t="shared" si="22"/>
        <v>2C20</v>
      </c>
      <c r="G328" s="5" t="s">
        <v>791</v>
      </c>
      <c r="H328" s="5" t="s">
        <v>2147</v>
      </c>
      <c r="I328" s="4" t="s">
        <v>5</v>
      </c>
    </row>
    <row r="329" spans="2:9" ht="17.100000000000001" customHeight="1" x14ac:dyDescent="0.3">
      <c r="B329" s="19"/>
      <c r="C329" s="17"/>
      <c r="D329" s="4">
        <v>325</v>
      </c>
      <c r="E329" s="4">
        <v>11300</v>
      </c>
      <c r="F329" s="4" t="str">
        <f t="shared" si="22"/>
        <v>2C24</v>
      </c>
      <c r="G329" s="5" t="s">
        <v>792</v>
      </c>
      <c r="H329" s="5" t="s">
        <v>180</v>
      </c>
      <c r="I329" s="4" t="s">
        <v>5</v>
      </c>
    </row>
    <row r="330" spans="2:9" ht="17.100000000000001" customHeight="1" x14ac:dyDescent="0.3">
      <c r="B330" s="19"/>
      <c r="C330" s="17"/>
      <c r="D330" s="4">
        <v>326</v>
      </c>
      <c r="E330" s="4">
        <v>11304</v>
      </c>
      <c r="F330" s="4" t="str">
        <f t="shared" si="22"/>
        <v>2C28</v>
      </c>
      <c r="G330" s="5" t="s">
        <v>793</v>
      </c>
      <c r="H330" s="5" t="s">
        <v>2148</v>
      </c>
      <c r="I330" s="4" t="s">
        <v>4</v>
      </c>
    </row>
    <row r="331" spans="2:9" ht="17.100000000000001" customHeight="1" x14ac:dyDescent="0.3">
      <c r="B331" s="19"/>
      <c r="C331" s="17"/>
      <c r="D331" s="4">
        <v>327</v>
      </c>
      <c r="E331" s="4">
        <v>11308</v>
      </c>
      <c r="F331" s="4" t="str">
        <f t="shared" si="22"/>
        <v>2C2C</v>
      </c>
      <c r="G331" s="5" t="s">
        <v>794</v>
      </c>
      <c r="H331" s="5" t="s">
        <v>2149</v>
      </c>
      <c r="I331" s="4" t="s">
        <v>4</v>
      </c>
    </row>
    <row r="332" spans="2:9" ht="17.100000000000001" customHeight="1" x14ac:dyDescent="0.3">
      <c r="B332" s="19"/>
      <c r="C332" s="17"/>
      <c r="D332" s="4">
        <v>328</v>
      </c>
      <c r="E332" s="4">
        <v>11312</v>
      </c>
      <c r="F332" s="4" t="str">
        <f t="shared" si="22"/>
        <v>2C30</v>
      </c>
      <c r="G332" s="5" t="s">
        <v>795</v>
      </c>
      <c r="H332" s="5" t="s">
        <v>2150</v>
      </c>
      <c r="I332" s="4" t="s">
        <v>4</v>
      </c>
    </row>
    <row r="333" spans="2:9" ht="17.100000000000001" customHeight="1" x14ac:dyDescent="0.3">
      <c r="B333" s="19"/>
      <c r="C333" s="17"/>
      <c r="D333" s="4">
        <v>329</v>
      </c>
      <c r="E333" s="4">
        <v>11316</v>
      </c>
      <c r="F333" s="4" t="str">
        <f t="shared" si="22"/>
        <v>2C34</v>
      </c>
      <c r="G333" s="5" t="s">
        <v>796</v>
      </c>
      <c r="H333" s="5" t="s">
        <v>2151</v>
      </c>
      <c r="I333" s="4" t="s">
        <v>4</v>
      </c>
    </row>
    <row r="334" spans="2:9" ht="17.100000000000001" customHeight="1" x14ac:dyDescent="0.3">
      <c r="B334" s="19"/>
      <c r="C334" s="17"/>
      <c r="D334" s="4">
        <v>330</v>
      </c>
      <c r="E334" s="4">
        <v>11320</v>
      </c>
      <c r="F334" s="4" t="str">
        <f t="shared" si="22"/>
        <v>2C38</v>
      </c>
      <c r="G334" s="5" t="s">
        <v>797</v>
      </c>
      <c r="H334" s="5" t="s">
        <v>2152</v>
      </c>
      <c r="I334" s="4" t="s">
        <v>4</v>
      </c>
    </row>
    <row r="335" spans="2:9" ht="17.100000000000001" customHeight="1" x14ac:dyDescent="0.3">
      <c r="B335" s="19"/>
      <c r="C335" s="17"/>
      <c r="D335" s="4">
        <v>331</v>
      </c>
      <c r="E335" s="4">
        <v>11324</v>
      </c>
      <c r="F335" s="4" t="str">
        <f t="shared" si="22"/>
        <v>2C3C</v>
      </c>
      <c r="G335" s="5" t="s">
        <v>798</v>
      </c>
      <c r="H335" s="5" t="s">
        <v>2153</v>
      </c>
      <c r="I335" s="4" t="s">
        <v>4</v>
      </c>
    </row>
    <row r="336" spans="2:9" ht="17.100000000000001" customHeight="1" x14ac:dyDescent="0.3">
      <c r="B336" s="19"/>
      <c r="C336" s="17"/>
      <c r="D336" s="4">
        <v>332</v>
      </c>
      <c r="E336" s="4">
        <v>11328</v>
      </c>
      <c r="F336" s="4" t="str">
        <f t="shared" si="22"/>
        <v>2C40</v>
      </c>
      <c r="G336" s="5" t="s">
        <v>799</v>
      </c>
      <c r="H336" s="5" t="s">
        <v>2154</v>
      </c>
      <c r="I336" s="4" t="s">
        <v>4</v>
      </c>
    </row>
    <row r="337" spans="2:9" ht="17.100000000000001" customHeight="1" x14ac:dyDescent="0.3">
      <c r="B337" s="19"/>
      <c r="C337" s="17"/>
      <c r="D337" s="4">
        <v>333</v>
      </c>
      <c r="E337" s="4">
        <v>11332</v>
      </c>
      <c r="F337" s="4" t="str">
        <f t="shared" si="22"/>
        <v>2C44</v>
      </c>
      <c r="G337" s="5" t="s">
        <v>800</v>
      </c>
      <c r="H337" s="5" t="s">
        <v>2155</v>
      </c>
      <c r="I337" s="4" t="s">
        <v>4</v>
      </c>
    </row>
    <row r="338" spans="2:9" ht="17.100000000000001" customHeight="1" x14ac:dyDescent="0.3">
      <c r="B338" s="19"/>
      <c r="C338" s="17"/>
      <c r="D338" s="4">
        <v>334</v>
      </c>
      <c r="E338" s="4">
        <v>11336</v>
      </c>
      <c r="F338" s="4" t="str">
        <f t="shared" si="22"/>
        <v>2C48</v>
      </c>
      <c r="G338" s="5" t="s">
        <v>801</v>
      </c>
      <c r="H338" s="5" t="s">
        <v>2156</v>
      </c>
      <c r="I338" s="4" t="s">
        <v>4</v>
      </c>
    </row>
    <row r="339" spans="2:9" ht="17.100000000000001" customHeight="1" x14ac:dyDescent="0.3">
      <c r="B339" s="19"/>
      <c r="C339" s="17"/>
      <c r="D339" s="4">
        <v>335</v>
      </c>
      <c r="E339" s="4">
        <v>11340</v>
      </c>
      <c r="F339" s="4" t="str">
        <f t="shared" si="22"/>
        <v>2C4C</v>
      </c>
      <c r="G339" s="6" t="str">
        <f t="shared" ref="G339:G343" si="23">"pUmem_Sta_TBD_"&amp;F339</f>
        <v>pUmem_Sta_TBD_2C4C</v>
      </c>
      <c r="H339" s="6"/>
      <c r="I339" s="7"/>
    </row>
    <row r="340" spans="2:9" ht="17.100000000000001" customHeight="1" x14ac:dyDescent="0.3">
      <c r="B340" s="19"/>
      <c r="C340" s="17"/>
      <c r="D340" s="4">
        <v>336</v>
      </c>
      <c r="E340" s="4">
        <v>11344</v>
      </c>
      <c r="F340" s="4" t="str">
        <f t="shared" si="22"/>
        <v>2C50</v>
      </c>
      <c r="G340" s="6" t="str">
        <f t="shared" si="23"/>
        <v>pUmem_Sta_TBD_2C50</v>
      </c>
      <c r="H340" s="6"/>
      <c r="I340" s="7"/>
    </row>
    <row r="341" spans="2:9" ht="17.100000000000001" customHeight="1" x14ac:dyDescent="0.3">
      <c r="B341" s="19"/>
      <c r="C341" s="17"/>
      <c r="D341" s="4">
        <v>337</v>
      </c>
      <c r="E341" s="4">
        <v>11348</v>
      </c>
      <c r="F341" s="4" t="str">
        <f t="shared" si="22"/>
        <v>2C54</v>
      </c>
      <c r="G341" s="6" t="str">
        <f t="shared" si="23"/>
        <v>pUmem_Sta_TBD_2C54</v>
      </c>
      <c r="H341" s="6"/>
      <c r="I341" s="7"/>
    </row>
    <row r="342" spans="2:9" ht="17.100000000000001" customHeight="1" x14ac:dyDescent="0.3">
      <c r="B342" s="19"/>
      <c r="C342" s="17"/>
      <c r="D342" s="4">
        <v>338</v>
      </c>
      <c r="E342" s="4">
        <v>11352</v>
      </c>
      <c r="F342" s="4" t="str">
        <f t="shared" si="22"/>
        <v>2C58</v>
      </c>
      <c r="G342" s="6" t="str">
        <f t="shared" si="23"/>
        <v>pUmem_Sta_TBD_2C58</v>
      </c>
      <c r="H342" s="6"/>
      <c r="I342" s="7"/>
    </row>
    <row r="343" spans="2:9" ht="17.100000000000001" customHeight="1" x14ac:dyDescent="0.3">
      <c r="B343" s="19"/>
      <c r="C343" s="17"/>
      <c r="D343" s="4">
        <v>339</v>
      </c>
      <c r="E343" s="4">
        <v>11356</v>
      </c>
      <c r="F343" s="4" t="str">
        <f t="shared" si="22"/>
        <v>2C5C</v>
      </c>
      <c r="G343" s="6" t="str">
        <f t="shared" si="23"/>
        <v>pUmem_Sta_TBD_2C5C</v>
      </c>
      <c r="H343" s="6"/>
      <c r="I343" s="7"/>
    </row>
    <row r="344" spans="2:9" ht="17.100000000000001" customHeight="1" x14ac:dyDescent="0.3">
      <c r="B344" s="19"/>
      <c r="C344" s="17" t="s">
        <v>292</v>
      </c>
      <c r="D344" s="4">
        <v>340</v>
      </c>
      <c r="E344" s="4">
        <v>11360</v>
      </c>
      <c r="F344" s="4" t="str">
        <f t="shared" si="22"/>
        <v>2C60</v>
      </c>
      <c r="G344" s="5" t="s">
        <v>802</v>
      </c>
      <c r="H344" s="5" t="s">
        <v>2143</v>
      </c>
      <c r="I344" s="4" t="s">
        <v>14</v>
      </c>
    </row>
    <row r="345" spans="2:9" ht="17.100000000000001" customHeight="1" x14ac:dyDescent="0.3">
      <c r="B345" s="19"/>
      <c r="C345" s="17"/>
      <c r="D345" s="4">
        <v>341</v>
      </c>
      <c r="E345" s="4">
        <v>11364</v>
      </c>
      <c r="F345" s="4" t="str">
        <f t="shared" si="22"/>
        <v>2C64</v>
      </c>
      <c r="G345" s="5" t="s">
        <v>803</v>
      </c>
      <c r="H345" s="5" t="s">
        <v>2144</v>
      </c>
      <c r="I345" s="4" t="s">
        <v>14</v>
      </c>
    </row>
    <row r="346" spans="2:9" ht="17.100000000000001" customHeight="1" x14ac:dyDescent="0.3">
      <c r="B346" s="19"/>
      <c r="C346" s="17"/>
      <c r="D346" s="4">
        <v>342</v>
      </c>
      <c r="E346" s="4">
        <v>11368</v>
      </c>
      <c r="F346" s="4" t="str">
        <f t="shared" si="22"/>
        <v>2C68</v>
      </c>
      <c r="G346" s="5" t="s">
        <v>804</v>
      </c>
      <c r="H346" s="5" t="s">
        <v>2145</v>
      </c>
      <c r="I346" s="4" t="s">
        <v>15</v>
      </c>
    </row>
    <row r="347" spans="2:9" ht="17.100000000000001" customHeight="1" x14ac:dyDescent="0.3">
      <c r="B347" s="19"/>
      <c r="C347" s="17"/>
      <c r="D347" s="4">
        <v>343</v>
      </c>
      <c r="E347" s="4">
        <v>11372</v>
      </c>
      <c r="F347" s="4" t="str">
        <f t="shared" si="22"/>
        <v>2C6C</v>
      </c>
      <c r="G347" s="5" t="s">
        <v>805</v>
      </c>
      <c r="H347" s="5" t="s">
        <v>2146</v>
      </c>
      <c r="I347" s="12">
        <v>1E-3</v>
      </c>
    </row>
    <row r="348" spans="2:9" ht="17.100000000000001" customHeight="1" x14ac:dyDescent="0.3">
      <c r="B348" s="19"/>
      <c r="C348" s="17"/>
      <c r="D348" s="4">
        <v>344</v>
      </c>
      <c r="E348" s="4">
        <v>11376</v>
      </c>
      <c r="F348" s="4" t="str">
        <f t="shared" si="22"/>
        <v>2C70</v>
      </c>
      <c r="G348" s="5" t="s">
        <v>806</v>
      </c>
      <c r="H348" s="5" t="s">
        <v>2147</v>
      </c>
      <c r="I348" s="4" t="s">
        <v>5</v>
      </c>
    </row>
    <row r="349" spans="2:9" ht="17.100000000000001" customHeight="1" x14ac:dyDescent="0.3">
      <c r="B349" s="19"/>
      <c r="C349" s="17"/>
      <c r="D349" s="4">
        <v>345</v>
      </c>
      <c r="E349" s="4">
        <v>11380</v>
      </c>
      <c r="F349" s="4" t="str">
        <f t="shared" si="22"/>
        <v>2C74</v>
      </c>
      <c r="G349" s="5" t="s">
        <v>807</v>
      </c>
      <c r="H349" s="5" t="s">
        <v>180</v>
      </c>
      <c r="I349" s="4" t="s">
        <v>5</v>
      </c>
    </row>
    <row r="350" spans="2:9" ht="17.100000000000001" customHeight="1" x14ac:dyDescent="0.3">
      <c r="B350" s="19"/>
      <c r="C350" s="17"/>
      <c r="D350" s="4">
        <v>346</v>
      </c>
      <c r="E350" s="4">
        <v>11384</v>
      </c>
      <c r="F350" s="4" t="str">
        <f t="shared" si="22"/>
        <v>2C78</v>
      </c>
      <c r="G350" s="5" t="s">
        <v>808</v>
      </c>
      <c r="H350" s="5" t="s">
        <v>2148</v>
      </c>
      <c r="I350" s="4" t="s">
        <v>4</v>
      </c>
    </row>
    <row r="351" spans="2:9" ht="17.100000000000001" customHeight="1" x14ac:dyDescent="0.3">
      <c r="B351" s="19"/>
      <c r="C351" s="17"/>
      <c r="D351" s="4">
        <v>347</v>
      </c>
      <c r="E351" s="4">
        <v>11388</v>
      </c>
      <c r="F351" s="4" t="str">
        <f t="shared" si="22"/>
        <v>2C7C</v>
      </c>
      <c r="G351" s="5" t="s">
        <v>809</v>
      </c>
      <c r="H351" s="5" t="s">
        <v>2149</v>
      </c>
      <c r="I351" s="4" t="s">
        <v>4</v>
      </c>
    </row>
    <row r="352" spans="2:9" ht="17.100000000000001" customHeight="1" x14ac:dyDescent="0.3">
      <c r="B352" s="19"/>
      <c r="C352" s="17"/>
      <c r="D352" s="4">
        <v>348</v>
      </c>
      <c r="E352" s="4">
        <v>11392</v>
      </c>
      <c r="F352" s="4" t="str">
        <f t="shared" si="22"/>
        <v>2C80</v>
      </c>
      <c r="G352" s="5" t="s">
        <v>810</v>
      </c>
      <c r="H352" s="5" t="s">
        <v>2150</v>
      </c>
      <c r="I352" s="4" t="s">
        <v>4</v>
      </c>
    </row>
    <row r="353" spans="2:9" ht="17.100000000000001" customHeight="1" x14ac:dyDescent="0.3">
      <c r="B353" s="19"/>
      <c r="C353" s="17"/>
      <c r="D353" s="4">
        <v>349</v>
      </c>
      <c r="E353" s="4">
        <v>11396</v>
      </c>
      <c r="F353" s="4" t="str">
        <f t="shared" si="22"/>
        <v>2C84</v>
      </c>
      <c r="G353" s="5" t="s">
        <v>811</v>
      </c>
      <c r="H353" s="5" t="s">
        <v>2151</v>
      </c>
      <c r="I353" s="4" t="s">
        <v>4</v>
      </c>
    </row>
    <row r="354" spans="2:9" ht="17.100000000000001" customHeight="1" x14ac:dyDescent="0.3">
      <c r="B354" s="19"/>
      <c r="C354" s="17"/>
      <c r="D354" s="4">
        <v>350</v>
      </c>
      <c r="E354" s="4">
        <v>11400</v>
      </c>
      <c r="F354" s="4" t="str">
        <f t="shared" si="22"/>
        <v>2C88</v>
      </c>
      <c r="G354" s="5" t="s">
        <v>812</v>
      </c>
      <c r="H354" s="5" t="s">
        <v>2152</v>
      </c>
      <c r="I354" s="4" t="s">
        <v>4</v>
      </c>
    </row>
    <row r="355" spans="2:9" ht="17.100000000000001" customHeight="1" x14ac:dyDescent="0.3">
      <c r="B355" s="19"/>
      <c r="C355" s="17"/>
      <c r="D355" s="4">
        <v>351</v>
      </c>
      <c r="E355" s="4">
        <v>11404</v>
      </c>
      <c r="F355" s="4" t="str">
        <f t="shared" si="22"/>
        <v>2C8C</v>
      </c>
      <c r="G355" s="5" t="s">
        <v>813</v>
      </c>
      <c r="H355" s="5" t="s">
        <v>2153</v>
      </c>
      <c r="I355" s="4" t="s">
        <v>4</v>
      </c>
    </row>
    <row r="356" spans="2:9" ht="17.100000000000001" customHeight="1" x14ac:dyDescent="0.3">
      <c r="B356" s="19"/>
      <c r="C356" s="17"/>
      <c r="D356" s="4">
        <v>352</v>
      </c>
      <c r="E356" s="4">
        <v>11408</v>
      </c>
      <c r="F356" s="4" t="str">
        <f t="shared" si="22"/>
        <v>2C90</v>
      </c>
      <c r="G356" s="5" t="s">
        <v>814</v>
      </c>
      <c r="H356" s="5" t="s">
        <v>2154</v>
      </c>
      <c r="I356" s="4" t="s">
        <v>4</v>
      </c>
    </row>
    <row r="357" spans="2:9" ht="17.100000000000001" customHeight="1" x14ac:dyDescent="0.3">
      <c r="B357" s="19"/>
      <c r="C357" s="17"/>
      <c r="D357" s="4">
        <v>353</v>
      </c>
      <c r="E357" s="4">
        <v>11412</v>
      </c>
      <c r="F357" s="4" t="str">
        <f t="shared" si="22"/>
        <v>2C94</v>
      </c>
      <c r="G357" s="5" t="s">
        <v>815</v>
      </c>
      <c r="H357" s="5" t="s">
        <v>2155</v>
      </c>
      <c r="I357" s="4" t="s">
        <v>4</v>
      </c>
    </row>
    <row r="358" spans="2:9" ht="17.100000000000001" customHeight="1" x14ac:dyDescent="0.3">
      <c r="B358" s="19"/>
      <c r="C358" s="17"/>
      <c r="D358" s="4">
        <v>354</v>
      </c>
      <c r="E358" s="4">
        <v>11416</v>
      </c>
      <c r="F358" s="4" t="str">
        <f t="shared" si="22"/>
        <v>2C98</v>
      </c>
      <c r="G358" s="5" t="s">
        <v>816</v>
      </c>
      <c r="H358" s="5" t="s">
        <v>2156</v>
      </c>
      <c r="I358" s="4" t="s">
        <v>4</v>
      </c>
    </row>
    <row r="359" spans="2:9" ht="17.100000000000001" customHeight="1" x14ac:dyDescent="0.3">
      <c r="B359" s="19"/>
      <c r="C359" s="17"/>
      <c r="D359" s="4">
        <v>355</v>
      </c>
      <c r="E359" s="4">
        <v>11420</v>
      </c>
      <c r="F359" s="4" t="str">
        <f t="shared" si="22"/>
        <v>2C9C</v>
      </c>
      <c r="G359" s="6" t="str">
        <f t="shared" ref="G359:G363" si="24">"pUmem_Sta_TBD_"&amp;F359</f>
        <v>pUmem_Sta_TBD_2C9C</v>
      </c>
      <c r="H359" s="6"/>
      <c r="I359" s="7"/>
    </row>
    <row r="360" spans="2:9" ht="17.100000000000001" customHeight="1" x14ac:dyDescent="0.3">
      <c r="B360" s="19"/>
      <c r="C360" s="17"/>
      <c r="D360" s="4">
        <v>356</v>
      </c>
      <c r="E360" s="4">
        <v>11424</v>
      </c>
      <c r="F360" s="4" t="str">
        <f t="shared" si="22"/>
        <v>2CA0</v>
      </c>
      <c r="G360" s="6" t="str">
        <f t="shared" si="24"/>
        <v>pUmem_Sta_TBD_2CA0</v>
      </c>
      <c r="H360" s="6"/>
      <c r="I360" s="7"/>
    </row>
    <row r="361" spans="2:9" ht="17.100000000000001" customHeight="1" x14ac:dyDescent="0.3">
      <c r="B361" s="19"/>
      <c r="C361" s="17"/>
      <c r="D361" s="4">
        <v>357</v>
      </c>
      <c r="E361" s="4">
        <v>11428</v>
      </c>
      <c r="F361" s="4" t="str">
        <f t="shared" si="22"/>
        <v>2CA4</v>
      </c>
      <c r="G361" s="6" t="str">
        <f t="shared" si="24"/>
        <v>pUmem_Sta_TBD_2CA4</v>
      </c>
      <c r="H361" s="6"/>
      <c r="I361" s="7"/>
    </row>
    <row r="362" spans="2:9" ht="17.100000000000001" customHeight="1" x14ac:dyDescent="0.3">
      <c r="B362" s="19"/>
      <c r="C362" s="17"/>
      <c r="D362" s="4">
        <v>358</v>
      </c>
      <c r="E362" s="4">
        <v>11432</v>
      </c>
      <c r="F362" s="4" t="str">
        <f t="shared" si="22"/>
        <v>2CA8</v>
      </c>
      <c r="G362" s="6" t="str">
        <f t="shared" si="24"/>
        <v>pUmem_Sta_TBD_2CA8</v>
      </c>
      <c r="H362" s="6"/>
      <c r="I362" s="7"/>
    </row>
    <row r="363" spans="2:9" ht="17.100000000000001" customHeight="1" x14ac:dyDescent="0.3">
      <c r="B363" s="19"/>
      <c r="C363" s="17"/>
      <c r="D363" s="4">
        <v>359</v>
      </c>
      <c r="E363" s="4">
        <v>11436</v>
      </c>
      <c r="F363" s="4" t="str">
        <f t="shared" si="22"/>
        <v>2CAC</v>
      </c>
      <c r="G363" s="6" t="str">
        <f t="shared" si="24"/>
        <v>pUmem_Sta_TBD_2CAC</v>
      </c>
      <c r="H363" s="6"/>
      <c r="I363" s="7"/>
    </row>
    <row r="364" spans="2:9" ht="17.100000000000001" customHeight="1" x14ac:dyDescent="0.3">
      <c r="B364" s="19"/>
      <c r="C364" s="17" t="s">
        <v>293</v>
      </c>
      <c r="D364" s="4">
        <v>360</v>
      </c>
      <c r="E364" s="4">
        <v>11440</v>
      </c>
      <c r="F364" s="4" t="str">
        <f t="shared" si="22"/>
        <v>2CB0</v>
      </c>
      <c r="G364" s="5" t="s">
        <v>817</v>
      </c>
      <c r="H364" s="5" t="s">
        <v>2143</v>
      </c>
      <c r="I364" s="4" t="s">
        <v>14</v>
      </c>
    </row>
    <row r="365" spans="2:9" ht="17.100000000000001" customHeight="1" x14ac:dyDescent="0.3">
      <c r="B365" s="19"/>
      <c r="C365" s="17"/>
      <c r="D365" s="4">
        <v>361</v>
      </c>
      <c r="E365" s="4">
        <v>11444</v>
      </c>
      <c r="F365" s="4" t="str">
        <f t="shared" si="22"/>
        <v>2CB4</v>
      </c>
      <c r="G365" s="5" t="s">
        <v>818</v>
      </c>
      <c r="H365" s="5" t="s">
        <v>2144</v>
      </c>
      <c r="I365" s="4" t="s">
        <v>14</v>
      </c>
    </row>
    <row r="366" spans="2:9" ht="17.100000000000001" customHeight="1" x14ac:dyDescent="0.3">
      <c r="B366" s="19"/>
      <c r="C366" s="17"/>
      <c r="D366" s="4">
        <v>362</v>
      </c>
      <c r="E366" s="4">
        <v>11448</v>
      </c>
      <c r="F366" s="4" t="str">
        <f t="shared" si="22"/>
        <v>2CB8</v>
      </c>
      <c r="G366" s="5" t="s">
        <v>819</v>
      </c>
      <c r="H366" s="5" t="s">
        <v>2145</v>
      </c>
      <c r="I366" s="4" t="s">
        <v>15</v>
      </c>
    </row>
    <row r="367" spans="2:9" ht="17.100000000000001" customHeight="1" x14ac:dyDescent="0.3">
      <c r="B367" s="19"/>
      <c r="C367" s="17"/>
      <c r="D367" s="4">
        <v>363</v>
      </c>
      <c r="E367" s="4">
        <v>11452</v>
      </c>
      <c r="F367" s="4" t="str">
        <f t="shared" si="22"/>
        <v>2CBC</v>
      </c>
      <c r="G367" s="5" t="s">
        <v>820</v>
      </c>
      <c r="H367" s="5" t="s">
        <v>2146</v>
      </c>
      <c r="I367" s="12">
        <v>1E-3</v>
      </c>
    </row>
    <row r="368" spans="2:9" ht="17.100000000000001" customHeight="1" x14ac:dyDescent="0.3">
      <c r="B368" s="19"/>
      <c r="C368" s="17"/>
      <c r="D368" s="4">
        <v>364</v>
      </c>
      <c r="E368" s="4">
        <v>11456</v>
      </c>
      <c r="F368" s="4" t="str">
        <f t="shared" si="22"/>
        <v>2CC0</v>
      </c>
      <c r="G368" s="5" t="s">
        <v>821</v>
      </c>
      <c r="H368" s="5" t="s">
        <v>2147</v>
      </c>
      <c r="I368" s="4" t="s">
        <v>5</v>
      </c>
    </row>
    <row r="369" spans="2:9" ht="17.100000000000001" customHeight="1" x14ac:dyDescent="0.3">
      <c r="B369" s="19"/>
      <c r="C369" s="17"/>
      <c r="D369" s="4">
        <v>365</v>
      </c>
      <c r="E369" s="4">
        <v>11460</v>
      </c>
      <c r="F369" s="4" t="str">
        <f t="shared" si="22"/>
        <v>2CC4</v>
      </c>
      <c r="G369" s="5" t="s">
        <v>822</v>
      </c>
      <c r="H369" s="5" t="s">
        <v>180</v>
      </c>
      <c r="I369" s="4" t="s">
        <v>5</v>
      </c>
    </row>
    <row r="370" spans="2:9" ht="17.100000000000001" customHeight="1" x14ac:dyDescent="0.3">
      <c r="B370" s="19"/>
      <c r="C370" s="17"/>
      <c r="D370" s="4">
        <v>366</v>
      </c>
      <c r="E370" s="4">
        <v>11464</v>
      </c>
      <c r="F370" s="4" t="str">
        <f t="shared" si="22"/>
        <v>2CC8</v>
      </c>
      <c r="G370" s="5" t="s">
        <v>823</v>
      </c>
      <c r="H370" s="5" t="s">
        <v>2148</v>
      </c>
      <c r="I370" s="4" t="s">
        <v>4</v>
      </c>
    </row>
    <row r="371" spans="2:9" ht="17.100000000000001" customHeight="1" x14ac:dyDescent="0.3">
      <c r="B371" s="19"/>
      <c r="C371" s="17"/>
      <c r="D371" s="4">
        <v>367</v>
      </c>
      <c r="E371" s="4">
        <v>11468</v>
      </c>
      <c r="F371" s="4" t="str">
        <f t="shared" si="22"/>
        <v>2CCC</v>
      </c>
      <c r="G371" s="5" t="s">
        <v>824</v>
      </c>
      <c r="H371" s="5" t="s">
        <v>2149</v>
      </c>
      <c r="I371" s="4" t="s">
        <v>4</v>
      </c>
    </row>
    <row r="372" spans="2:9" ht="17.100000000000001" customHeight="1" x14ac:dyDescent="0.3">
      <c r="B372" s="19"/>
      <c r="C372" s="17"/>
      <c r="D372" s="4">
        <v>368</v>
      </c>
      <c r="E372" s="4">
        <v>11472</v>
      </c>
      <c r="F372" s="4" t="str">
        <f t="shared" si="22"/>
        <v>2CD0</v>
      </c>
      <c r="G372" s="5" t="s">
        <v>825</v>
      </c>
      <c r="H372" s="5" t="s">
        <v>2150</v>
      </c>
      <c r="I372" s="4" t="s">
        <v>4</v>
      </c>
    </row>
    <row r="373" spans="2:9" ht="17.100000000000001" customHeight="1" x14ac:dyDescent="0.3">
      <c r="B373" s="19"/>
      <c r="C373" s="17"/>
      <c r="D373" s="4">
        <v>369</v>
      </c>
      <c r="E373" s="4">
        <v>11476</v>
      </c>
      <c r="F373" s="4" t="str">
        <f t="shared" si="22"/>
        <v>2CD4</v>
      </c>
      <c r="G373" s="5" t="s">
        <v>826</v>
      </c>
      <c r="H373" s="5" t="s">
        <v>2151</v>
      </c>
      <c r="I373" s="4" t="s">
        <v>4</v>
      </c>
    </row>
    <row r="374" spans="2:9" ht="17.100000000000001" customHeight="1" x14ac:dyDescent="0.3">
      <c r="B374" s="19"/>
      <c r="C374" s="17"/>
      <c r="D374" s="4">
        <v>370</v>
      </c>
      <c r="E374" s="4">
        <v>11480</v>
      </c>
      <c r="F374" s="4" t="str">
        <f t="shared" si="22"/>
        <v>2CD8</v>
      </c>
      <c r="G374" s="5" t="s">
        <v>827</v>
      </c>
      <c r="H374" s="5" t="s">
        <v>2152</v>
      </c>
      <c r="I374" s="4" t="s">
        <v>4</v>
      </c>
    </row>
    <row r="375" spans="2:9" ht="17.100000000000001" customHeight="1" x14ac:dyDescent="0.3">
      <c r="B375" s="19"/>
      <c r="C375" s="17"/>
      <c r="D375" s="4">
        <v>371</v>
      </c>
      <c r="E375" s="4">
        <v>11484</v>
      </c>
      <c r="F375" s="4" t="str">
        <f t="shared" si="22"/>
        <v>2CDC</v>
      </c>
      <c r="G375" s="5" t="s">
        <v>828</v>
      </c>
      <c r="H375" s="5" t="s">
        <v>2153</v>
      </c>
      <c r="I375" s="4" t="s">
        <v>4</v>
      </c>
    </row>
    <row r="376" spans="2:9" ht="17.100000000000001" customHeight="1" x14ac:dyDescent="0.3">
      <c r="B376" s="19"/>
      <c r="C376" s="17"/>
      <c r="D376" s="4">
        <v>372</v>
      </c>
      <c r="E376" s="4">
        <v>11488</v>
      </c>
      <c r="F376" s="4" t="str">
        <f t="shared" si="22"/>
        <v>2CE0</v>
      </c>
      <c r="G376" s="5" t="s">
        <v>829</v>
      </c>
      <c r="H376" s="5" t="s">
        <v>2154</v>
      </c>
      <c r="I376" s="4" t="s">
        <v>4</v>
      </c>
    </row>
    <row r="377" spans="2:9" ht="17.100000000000001" customHeight="1" x14ac:dyDescent="0.3">
      <c r="B377" s="19"/>
      <c r="C377" s="17"/>
      <c r="D377" s="4">
        <v>373</v>
      </c>
      <c r="E377" s="4">
        <v>11492</v>
      </c>
      <c r="F377" s="4" t="str">
        <f t="shared" si="22"/>
        <v>2CE4</v>
      </c>
      <c r="G377" s="5" t="s">
        <v>830</v>
      </c>
      <c r="H377" s="5" t="s">
        <v>2155</v>
      </c>
      <c r="I377" s="4" t="s">
        <v>4</v>
      </c>
    </row>
    <row r="378" spans="2:9" ht="17.100000000000001" customHeight="1" x14ac:dyDescent="0.3">
      <c r="B378" s="19"/>
      <c r="C378" s="17"/>
      <c r="D378" s="4">
        <v>374</v>
      </c>
      <c r="E378" s="4">
        <v>11496</v>
      </c>
      <c r="F378" s="4" t="str">
        <f t="shared" si="22"/>
        <v>2CE8</v>
      </c>
      <c r="G378" s="5" t="s">
        <v>831</v>
      </c>
      <c r="H378" s="5" t="s">
        <v>2156</v>
      </c>
      <c r="I378" s="4" t="s">
        <v>4</v>
      </c>
    </row>
    <row r="379" spans="2:9" ht="17.100000000000001" customHeight="1" x14ac:dyDescent="0.3">
      <c r="B379" s="19"/>
      <c r="C379" s="17"/>
      <c r="D379" s="4">
        <v>375</v>
      </c>
      <c r="E379" s="4">
        <v>11500</v>
      </c>
      <c r="F379" s="4" t="str">
        <f t="shared" si="22"/>
        <v>2CEC</v>
      </c>
      <c r="G379" s="6" t="str">
        <f t="shared" ref="G379:G383" si="25">"pUmem_Sta_TBD_"&amp;F379</f>
        <v>pUmem_Sta_TBD_2CEC</v>
      </c>
      <c r="H379" s="6"/>
      <c r="I379" s="7"/>
    </row>
    <row r="380" spans="2:9" ht="17.100000000000001" customHeight="1" x14ac:dyDescent="0.3">
      <c r="B380" s="19"/>
      <c r="C380" s="17"/>
      <c r="D380" s="4">
        <v>376</v>
      </c>
      <c r="E380" s="4">
        <v>11504</v>
      </c>
      <c r="F380" s="4" t="str">
        <f t="shared" si="22"/>
        <v>2CF0</v>
      </c>
      <c r="G380" s="6" t="str">
        <f t="shared" si="25"/>
        <v>pUmem_Sta_TBD_2CF0</v>
      </c>
      <c r="H380" s="6"/>
      <c r="I380" s="7"/>
    </row>
    <row r="381" spans="2:9" ht="17.100000000000001" customHeight="1" x14ac:dyDescent="0.3">
      <c r="B381" s="19"/>
      <c r="C381" s="17"/>
      <c r="D381" s="4">
        <v>377</v>
      </c>
      <c r="E381" s="4">
        <v>11508</v>
      </c>
      <c r="F381" s="4" t="str">
        <f t="shared" si="22"/>
        <v>2CF4</v>
      </c>
      <c r="G381" s="6" t="str">
        <f t="shared" si="25"/>
        <v>pUmem_Sta_TBD_2CF4</v>
      </c>
      <c r="H381" s="6"/>
      <c r="I381" s="7"/>
    </row>
    <row r="382" spans="2:9" ht="17.100000000000001" customHeight="1" x14ac:dyDescent="0.3">
      <c r="B382" s="19"/>
      <c r="C382" s="17"/>
      <c r="D382" s="4">
        <v>378</v>
      </c>
      <c r="E382" s="4">
        <v>11512</v>
      </c>
      <c r="F382" s="4" t="str">
        <f t="shared" si="22"/>
        <v>2CF8</v>
      </c>
      <c r="G382" s="6" t="str">
        <f t="shared" si="25"/>
        <v>pUmem_Sta_TBD_2CF8</v>
      </c>
      <c r="H382" s="6"/>
      <c r="I382" s="7"/>
    </row>
    <row r="383" spans="2:9" ht="17.100000000000001" customHeight="1" x14ac:dyDescent="0.3">
      <c r="B383" s="19"/>
      <c r="C383" s="17"/>
      <c r="D383" s="4">
        <v>379</v>
      </c>
      <c r="E383" s="4">
        <v>11516</v>
      </c>
      <c r="F383" s="4" t="str">
        <f t="shared" si="22"/>
        <v>2CFC</v>
      </c>
      <c r="G383" s="6" t="str">
        <f t="shared" si="25"/>
        <v>pUmem_Sta_TBD_2CFC</v>
      </c>
      <c r="H383" s="6"/>
      <c r="I383" s="7"/>
    </row>
    <row r="384" spans="2:9" ht="17.100000000000001" customHeight="1" x14ac:dyDescent="0.3">
      <c r="B384" s="19"/>
      <c r="C384" s="17" t="s">
        <v>294</v>
      </c>
      <c r="D384" s="4">
        <v>380</v>
      </c>
      <c r="E384" s="4">
        <v>11520</v>
      </c>
      <c r="F384" s="4" t="str">
        <f t="shared" si="22"/>
        <v>2D00</v>
      </c>
      <c r="G384" s="5" t="s">
        <v>832</v>
      </c>
      <c r="H384" s="5" t="s">
        <v>2143</v>
      </c>
      <c r="I384" s="4" t="s">
        <v>14</v>
      </c>
    </row>
    <row r="385" spans="2:9" ht="17.100000000000001" customHeight="1" x14ac:dyDescent="0.3">
      <c r="B385" s="19"/>
      <c r="C385" s="17"/>
      <c r="D385" s="4">
        <v>381</v>
      </c>
      <c r="E385" s="4">
        <v>11524</v>
      </c>
      <c r="F385" s="4" t="str">
        <f t="shared" si="22"/>
        <v>2D04</v>
      </c>
      <c r="G385" s="5" t="s">
        <v>833</v>
      </c>
      <c r="H385" s="5" t="s">
        <v>2144</v>
      </c>
      <c r="I385" s="4" t="s">
        <v>14</v>
      </c>
    </row>
    <row r="386" spans="2:9" ht="17.100000000000001" customHeight="1" x14ac:dyDescent="0.3">
      <c r="B386" s="19"/>
      <c r="C386" s="17"/>
      <c r="D386" s="4">
        <v>382</v>
      </c>
      <c r="E386" s="4">
        <v>11528</v>
      </c>
      <c r="F386" s="4" t="str">
        <f t="shared" si="22"/>
        <v>2D08</v>
      </c>
      <c r="G386" s="5" t="s">
        <v>834</v>
      </c>
      <c r="H386" s="5" t="s">
        <v>2145</v>
      </c>
      <c r="I386" s="4" t="s">
        <v>15</v>
      </c>
    </row>
    <row r="387" spans="2:9" ht="17.100000000000001" customHeight="1" x14ac:dyDescent="0.3">
      <c r="B387" s="19"/>
      <c r="C387" s="17"/>
      <c r="D387" s="4">
        <v>383</v>
      </c>
      <c r="E387" s="4">
        <v>11532</v>
      </c>
      <c r="F387" s="4" t="str">
        <f t="shared" si="22"/>
        <v>2D0C</v>
      </c>
      <c r="G387" s="5" t="s">
        <v>835</v>
      </c>
      <c r="H387" s="5" t="s">
        <v>2146</v>
      </c>
      <c r="I387" s="12">
        <v>1E-3</v>
      </c>
    </row>
    <row r="388" spans="2:9" ht="17.100000000000001" customHeight="1" x14ac:dyDescent="0.3">
      <c r="B388" s="19"/>
      <c r="C388" s="17"/>
      <c r="D388" s="4">
        <v>384</v>
      </c>
      <c r="E388" s="4">
        <v>11536</v>
      </c>
      <c r="F388" s="4" t="str">
        <f t="shared" si="22"/>
        <v>2D10</v>
      </c>
      <c r="G388" s="5" t="s">
        <v>836</v>
      </c>
      <c r="H388" s="5" t="s">
        <v>2147</v>
      </c>
      <c r="I388" s="4" t="s">
        <v>5</v>
      </c>
    </row>
    <row r="389" spans="2:9" ht="17.100000000000001" customHeight="1" x14ac:dyDescent="0.3">
      <c r="B389" s="19"/>
      <c r="C389" s="17"/>
      <c r="D389" s="4">
        <v>385</v>
      </c>
      <c r="E389" s="4">
        <v>11540</v>
      </c>
      <c r="F389" s="4" t="str">
        <f t="shared" si="22"/>
        <v>2D14</v>
      </c>
      <c r="G389" s="5" t="s">
        <v>837</v>
      </c>
      <c r="H389" s="5" t="s">
        <v>180</v>
      </c>
      <c r="I389" s="4" t="s">
        <v>5</v>
      </c>
    </row>
    <row r="390" spans="2:9" ht="17.100000000000001" customHeight="1" x14ac:dyDescent="0.3">
      <c r="B390" s="19"/>
      <c r="C390" s="17"/>
      <c r="D390" s="4">
        <v>386</v>
      </c>
      <c r="E390" s="4">
        <v>11544</v>
      </c>
      <c r="F390" s="4" t="str">
        <f t="shared" si="22"/>
        <v>2D18</v>
      </c>
      <c r="G390" s="5" t="s">
        <v>838</v>
      </c>
      <c r="H390" s="5" t="s">
        <v>2148</v>
      </c>
      <c r="I390" s="4" t="s">
        <v>4</v>
      </c>
    </row>
    <row r="391" spans="2:9" ht="17.100000000000001" customHeight="1" x14ac:dyDescent="0.3">
      <c r="B391" s="19"/>
      <c r="C391" s="17"/>
      <c r="D391" s="4">
        <v>387</v>
      </c>
      <c r="E391" s="4">
        <v>11548</v>
      </c>
      <c r="F391" s="4" t="str">
        <f t="shared" ref="F391:F454" si="26">DEC2HEX(E391)</f>
        <v>2D1C</v>
      </c>
      <c r="G391" s="5" t="s">
        <v>839</v>
      </c>
      <c r="H391" s="5" t="s">
        <v>2149</v>
      </c>
      <c r="I391" s="4" t="s">
        <v>4</v>
      </c>
    </row>
    <row r="392" spans="2:9" ht="17.100000000000001" customHeight="1" x14ac:dyDescent="0.3">
      <c r="B392" s="19"/>
      <c r="C392" s="17"/>
      <c r="D392" s="4">
        <v>388</v>
      </c>
      <c r="E392" s="4">
        <v>11552</v>
      </c>
      <c r="F392" s="4" t="str">
        <f t="shared" si="26"/>
        <v>2D20</v>
      </c>
      <c r="G392" s="5" t="s">
        <v>840</v>
      </c>
      <c r="H392" s="5" t="s">
        <v>2150</v>
      </c>
      <c r="I392" s="4" t="s">
        <v>4</v>
      </c>
    </row>
    <row r="393" spans="2:9" ht="17.100000000000001" customHeight="1" x14ac:dyDescent="0.3">
      <c r="B393" s="19"/>
      <c r="C393" s="17"/>
      <c r="D393" s="4">
        <v>389</v>
      </c>
      <c r="E393" s="4">
        <v>11556</v>
      </c>
      <c r="F393" s="4" t="str">
        <f t="shared" si="26"/>
        <v>2D24</v>
      </c>
      <c r="G393" s="5" t="s">
        <v>841</v>
      </c>
      <c r="H393" s="5" t="s">
        <v>2151</v>
      </c>
      <c r="I393" s="4" t="s">
        <v>4</v>
      </c>
    </row>
    <row r="394" spans="2:9" ht="17.100000000000001" customHeight="1" x14ac:dyDescent="0.3">
      <c r="B394" s="19"/>
      <c r="C394" s="17"/>
      <c r="D394" s="4">
        <v>390</v>
      </c>
      <c r="E394" s="4">
        <v>11560</v>
      </c>
      <c r="F394" s="4" t="str">
        <f t="shared" si="26"/>
        <v>2D28</v>
      </c>
      <c r="G394" s="5" t="s">
        <v>842</v>
      </c>
      <c r="H394" s="5" t="s">
        <v>2152</v>
      </c>
      <c r="I394" s="4" t="s">
        <v>4</v>
      </c>
    </row>
    <row r="395" spans="2:9" ht="17.100000000000001" customHeight="1" x14ac:dyDescent="0.3">
      <c r="B395" s="19"/>
      <c r="C395" s="17"/>
      <c r="D395" s="4">
        <v>391</v>
      </c>
      <c r="E395" s="4">
        <v>11564</v>
      </c>
      <c r="F395" s="4" t="str">
        <f t="shared" si="26"/>
        <v>2D2C</v>
      </c>
      <c r="G395" s="5" t="s">
        <v>843</v>
      </c>
      <c r="H395" s="5" t="s">
        <v>2153</v>
      </c>
      <c r="I395" s="4" t="s">
        <v>4</v>
      </c>
    </row>
    <row r="396" spans="2:9" ht="17.100000000000001" customHeight="1" x14ac:dyDescent="0.3">
      <c r="B396" s="19"/>
      <c r="C396" s="17"/>
      <c r="D396" s="4">
        <v>392</v>
      </c>
      <c r="E396" s="4">
        <v>11568</v>
      </c>
      <c r="F396" s="4" t="str">
        <f t="shared" si="26"/>
        <v>2D30</v>
      </c>
      <c r="G396" s="5" t="s">
        <v>844</v>
      </c>
      <c r="H396" s="5" t="s">
        <v>2154</v>
      </c>
      <c r="I396" s="4" t="s">
        <v>4</v>
      </c>
    </row>
    <row r="397" spans="2:9" ht="17.100000000000001" customHeight="1" x14ac:dyDescent="0.3">
      <c r="B397" s="19"/>
      <c r="C397" s="17"/>
      <c r="D397" s="4">
        <v>393</v>
      </c>
      <c r="E397" s="4">
        <v>11572</v>
      </c>
      <c r="F397" s="4" t="str">
        <f t="shared" si="26"/>
        <v>2D34</v>
      </c>
      <c r="G397" s="5" t="s">
        <v>845</v>
      </c>
      <c r="H397" s="5" t="s">
        <v>2155</v>
      </c>
      <c r="I397" s="4" t="s">
        <v>4</v>
      </c>
    </row>
    <row r="398" spans="2:9" ht="17.100000000000001" customHeight="1" x14ac:dyDescent="0.3">
      <c r="B398" s="19"/>
      <c r="C398" s="17"/>
      <c r="D398" s="4">
        <v>394</v>
      </c>
      <c r="E398" s="4">
        <v>11576</v>
      </c>
      <c r="F398" s="4" t="str">
        <f t="shared" si="26"/>
        <v>2D38</v>
      </c>
      <c r="G398" s="5" t="s">
        <v>846</v>
      </c>
      <c r="H398" s="5" t="s">
        <v>2156</v>
      </c>
      <c r="I398" s="4" t="s">
        <v>4</v>
      </c>
    </row>
    <row r="399" spans="2:9" ht="17.100000000000001" customHeight="1" x14ac:dyDescent="0.3">
      <c r="B399" s="19"/>
      <c r="C399" s="17"/>
      <c r="D399" s="4">
        <v>395</v>
      </c>
      <c r="E399" s="4">
        <v>11580</v>
      </c>
      <c r="F399" s="4" t="str">
        <f t="shared" si="26"/>
        <v>2D3C</v>
      </c>
      <c r="G399" s="6" t="str">
        <f t="shared" ref="G399:G403" si="27">"pUmem_Sta_TBD_"&amp;F399</f>
        <v>pUmem_Sta_TBD_2D3C</v>
      </c>
      <c r="H399" s="6"/>
      <c r="I399" s="7"/>
    </row>
    <row r="400" spans="2:9" ht="17.100000000000001" customHeight="1" x14ac:dyDescent="0.3">
      <c r="B400" s="19"/>
      <c r="C400" s="17"/>
      <c r="D400" s="4">
        <v>396</v>
      </c>
      <c r="E400" s="4">
        <v>11584</v>
      </c>
      <c r="F400" s="4" t="str">
        <f t="shared" si="26"/>
        <v>2D40</v>
      </c>
      <c r="G400" s="6" t="str">
        <f t="shared" si="27"/>
        <v>pUmem_Sta_TBD_2D40</v>
      </c>
      <c r="H400" s="6"/>
      <c r="I400" s="7"/>
    </row>
    <row r="401" spans="2:9" ht="17.100000000000001" customHeight="1" x14ac:dyDescent="0.3">
      <c r="B401" s="19"/>
      <c r="C401" s="17"/>
      <c r="D401" s="4">
        <v>397</v>
      </c>
      <c r="E401" s="4">
        <v>11588</v>
      </c>
      <c r="F401" s="4" t="str">
        <f t="shared" si="26"/>
        <v>2D44</v>
      </c>
      <c r="G401" s="6" t="str">
        <f t="shared" si="27"/>
        <v>pUmem_Sta_TBD_2D44</v>
      </c>
      <c r="H401" s="6"/>
      <c r="I401" s="7"/>
    </row>
    <row r="402" spans="2:9" ht="17.100000000000001" customHeight="1" x14ac:dyDescent="0.3">
      <c r="B402" s="19"/>
      <c r="C402" s="17"/>
      <c r="D402" s="4">
        <v>398</v>
      </c>
      <c r="E402" s="4">
        <v>11592</v>
      </c>
      <c r="F402" s="4" t="str">
        <f t="shared" si="26"/>
        <v>2D48</v>
      </c>
      <c r="G402" s="6" t="str">
        <f t="shared" si="27"/>
        <v>pUmem_Sta_TBD_2D48</v>
      </c>
      <c r="H402" s="6"/>
      <c r="I402" s="7"/>
    </row>
    <row r="403" spans="2:9" ht="17.100000000000001" customHeight="1" x14ac:dyDescent="0.3">
      <c r="B403" s="19"/>
      <c r="C403" s="17"/>
      <c r="D403" s="4">
        <v>399</v>
      </c>
      <c r="E403" s="4">
        <v>11596</v>
      </c>
      <c r="F403" s="4" t="str">
        <f t="shared" si="26"/>
        <v>2D4C</v>
      </c>
      <c r="G403" s="6" t="str">
        <f t="shared" si="27"/>
        <v>pUmem_Sta_TBD_2D4C</v>
      </c>
      <c r="H403" s="6"/>
      <c r="I403" s="7"/>
    </row>
    <row r="404" spans="2:9" ht="17.100000000000001" customHeight="1" x14ac:dyDescent="0.3">
      <c r="B404" s="19"/>
      <c r="C404" s="17" t="s">
        <v>295</v>
      </c>
      <c r="D404" s="4">
        <v>400</v>
      </c>
      <c r="E404" s="4">
        <v>11600</v>
      </c>
      <c r="F404" s="4" t="str">
        <f t="shared" si="26"/>
        <v>2D50</v>
      </c>
      <c r="G404" s="5" t="s">
        <v>847</v>
      </c>
      <c r="H404" s="5" t="s">
        <v>2143</v>
      </c>
      <c r="I404" s="4" t="s">
        <v>14</v>
      </c>
    </row>
    <row r="405" spans="2:9" ht="17.100000000000001" customHeight="1" x14ac:dyDescent="0.3">
      <c r="B405" s="19"/>
      <c r="C405" s="17"/>
      <c r="D405" s="4">
        <v>401</v>
      </c>
      <c r="E405" s="4">
        <v>11604</v>
      </c>
      <c r="F405" s="4" t="str">
        <f t="shared" si="26"/>
        <v>2D54</v>
      </c>
      <c r="G405" s="5" t="s">
        <v>848</v>
      </c>
      <c r="H405" s="5" t="s">
        <v>2144</v>
      </c>
      <c r="I405" s="4" t="s">
        <v>14</v>
      </c>
    </row>
    <row r="406" spans="2:9" ht="17.100000000000001" customHeight="1" x14ac:dyDescent="0.3">
      <c r="B406" s="19"/>
      <c r="C406" s="17"/>
      <c r="D406" s="4">
        <v>402</v>
      </c>
      <c r="E406" s="4">
        <v>11608</v>
      </c>
      <c r="F406" s="4" t="str">
        <f t="shared" si="26"/>
        <v>2D58</v>
      </c>
      <c r="G406" s="5" t="s">
        <v>849</v>
      </c>
      <c r="H406" s="5" t="s">
        <v>2145</v>
      </c>
      <c r="I406" s="4" t="s">
        <v>15</v>
      </c>
    </row>
    <row r="407" spans="2:9" ht="17.100000000000001" customHeight="1" x14ac:dyDescent="0.3">
      <c r="B407" s="19"/>
      <c r="C407" s="17"/>
      <c r="D407" s="4">
        <v>403</v>
      </c>
      <c r="E407" s="4">
        <v>11612</v>
      </c>
      <c r="F407" s="4" t="str">
        <f t="shared" si="26"/>
        <v>2D5C</v>
      </c>
      <c r="G407" s="5" t="s">
        <v>850</v>
      </c>
      <c r="H407" s="5" t="s">
        <v>2146</v>
      </c>
      <c r="I407" s="12">
        <v>1E-3</v>
      </c>
    </row>
    <row r="408" spans="2:9" ht="17.100000000000001" customHeight="1" x14ac:dyDescent="0.3">
      <c r="B408" s="19"/>
      <c r="C408" s="17"/>
      <c r="D408" s="4">
        <v>404</v>
      </c>
      <c r="E408" s="4">
        <v>11616</v>
      </c>
      <c r="F408" s="4" t="str">
        <f t="shared" si="26"/>
        <v>2D60</v>
      </c>
      <c r="G408" s="5" t="s">
        <v>851</v>
      </c>
      <c r="H408" s="5" t="s">
        <v>2147</v>
      </c>
      <c r="I408" s="4" t="s">
        <v>5</v>
      </c>
    </row>
    <row r="409" spans="2:9" ht="17.100000000000001" customHeight="1" x14ac:dyDescent="0.3">
      <c r="B409" s="19"/>
      <c r="C409" s="17"/>
      <c r="D409" s="4">
        <v>405</v>
      </c>
      <c r="E409" s="4">
        <v>11620</v>
      </c>
      <c r="F409" s="4" t="str">
        <f t="shared" si="26"/>
        <v>2D64</v>
      </c>
      <c r="G409" s="5" t="s">
        <v>852</v>
      </c>
      <c r="H409" s="5" t="s">
        <v>180</v>
      </c>
      <c r="I409" s="4" t="s">
        <v>5</v>
      </c>
    </row>
    <row r="410" spans="2:9" ht="17.100000000000001" customHeight="1" x14ac:dyDescent="0.3">
      <c r="B410" s="19"/>
      <c r="C410" s="17"/>
      <c r="D410" s="4">
        <v>406</v>
      </c>
      <c r="E410" s="4">
        <v>11624</v>
      </c>
      <c r="F410" s="4" t="str">
        <f t="shared" si="26"/>
        <v>2D68</v>
      </c>
      <c r="G410" s="5" t="s">
        <v>853</v>
      </c>
      <c r="H410" s="5" t="s">
        <v>2148</v>
      </c>
      <c r="I410" s="4" t="s">
        <v>4</v>
      </c>
    </row>
    <row r="411" spans="2:9" ht="17.100000000000001" customHeight="1" x14ac:dyDescent="0.3">
      <c r="B411" s="19"/>
      <c r="C411" s="17"/>
      <c r="D411" s="4">
        <v>407</v>
      </c>
      <c r="E411" s="4">
        <v>11628</v>
      </c>
      <c r="F411" s="4" t="str">
        <f t="shared" si="26"/>
        <v>2D6C</v>
      </c>
      <c r="G411" s="5" t="s">
        <v>854</v>
      </c>
      <c r="H411" s="5" t="s">
        <v>2149</v>
      </c>
      <c r="I411" s="4" t="s">
        <v>4</v>
      </c>
    </row>
    <row r="412" spans="2:9" ht="17.100000000000001" customHeight="1" x14ac:dyDescent="0.3">
      <c r="B412" s="19"/>
      <c r="C412" s="17"/>
      <c r="D412" s="4">
        <v>408</v>
      </c>
      <c r="E412" s="4">
        <v>11632</v>
      </c>
      <c r="F412" s="4" t="str">
        <f t="shared" si="26"/>
        <v>2D70</v>
      </c>
      <c r="G412" s="5" t="s">
        <v>855</v>
      </c>
      <c r="H412" s="5" t="s">
        <v>2150</v>
      </c>
      <c r="I412" s="4" t="s">
        <v>4</v>
      </c>
    </row>
    <row r="413" spans="2:9" ht="17.100000000000001" customHeight="1" x14ac:dyDescent="0.3">
      <c r="B413" s="19"/>
      <c r="C413" s="17"/>
      <c r="D413" s="4">
        <v>409</v>
      </c>
      <c r="E413" s="4">
        <v>11636</v>
      </c>
      <c r="F413" s="4" t="str">
        <f t="shared" si="26"/>
        <v>2D74</v>
      </c>
      <c r="G413" s="5" t="s">
        <v>856</v>
      </c>
      <c r="H413" s="5" t="s">
        <v>2151</v>
      </c>
      <c r="I413" s="4" t="s">
        <v>4</v>
      </c>
    </row>
    <row r="414" spans="2:9" ht="17.100000000000001" customHeight="1" x14ac:dyDescent="0.3">
      <c r="B414" s="19"/>
      <c r="C414" s="17"/>
      <c r="D414" s="4">
        <v>410</v>
      </c>
      <c r="E414" s="4">
        <v>11640</v>
      </c>
      <c r="F414" s="4" t="str">
        <f t="shared" si="26"/>
        <v>2D78</v>
      </c>
      <c r="G414" s="5" t="s">
        <v>857</v>
      </c>
      <c r="H414" s="5" t="s">
        <v>2152</v>
      </c>
      <c r="I414" s="4" t="s">
        <v>4</v>
      </c>
    </row>
    <row r="415" spans="2:9" ht="17.100000000000001" customHeight="1" x14ac:dyDescent="0.3">
      <c r="B415" s="19"/>
      <c r="C415" s="17"/>
      <c r="D415" s="4">
        <v>411</v>
      </c>
      <c r="E415" s="4">
        <v>11644</v>
      </c>
      <c r="F415" s="4" t="str">
        <f t="shared" si="26"/>
        <v>2D7C</v>
      </c>
      <c r="G415" s="5" t="s">
        <v>858</v>
      </c>
      <c r="H415" s="5" t="s">
        <v>2153</v>
      </c>
      <c r="I415" s="4" t="s">
        <v>4</v>
      </c>
    </row>
    <row r="416" spans="2:9" ht="17.100000000000001" customHeight="1" x14ac:dyDescent="0.3">
      <c r="B416" s="19"/>
      <c r="C416" s="17"/>
      <c r="D416" s="4">
        <v>412</v>
      </c>
      <c r="E416" s="4">
        <v>11648</v>
      </c>
      <c r="F416" s="4" t="str">
        <f t="shared" si="26"/>
        <v>2D80</v>
      </c>
      <c r="G416" s="5" t="s">
        <v>859</v>
      </c>
      <c r="H416" s="5" t="s">
        <v>2154</v>
      </c>
      <c r="I416" s="4" t="s">
        <v>4</v>
      </c>
    </row>
    <row r="417" spans="2:9" ht="17.100000000000001" customHeight="1" x14ac:dyDescent="0.3">
      <c r="B417" s="19"/>
      <c r="C417" s="17"/>
      <c r="D417" s="4">
        <v>413</v>
      </c>
      <c r="E417" s="4">
        <v>11652</v>
      </c>
      <c r="F417" s="4" t="str">
        <f t="shared" si="26"/>
        <v>2D84</v>
      </c>
      <c r="G417" s="5" t="s">
        <v>860</v>
      </c>
      <c r="H417" s="5" t="s">
        <v>2155</v>
      </c>
      <c r="I417" s="4" t="s">
        <v>4</v>
      </c>
    </row>
    <row r="418" spans="2:9" ht="17.100000000000001" customHeight="1" x14ac:dyDescent="0.3">
      <c r="B418" s="19"/>
      <c r="C418" s="17"/>
      <c r="D418" s="4">
        <v>414</v>
      </c>
      <c r="E418" s="4">
        <v>11656</v>
      </c>
      <c r="F418" s="4" t="str">
        <f t="shared" si="26"/>
        <v>2D88</v>
      </c>
      <c r="G418" s="5" t="s">
        <v>861</v>
      </c>
      <c r="H418" s="5" t="s">
        <v>2156</v>
      </c>
      <c r="I418" s="4" t="s">
        <v>4</v>
      </c>
    </row>
    <row r="419" spans="2:9" ht="17.100000000000001" customHeight="1" x14ac:dyDescent="0.3">
      <c r="B419" s="19"/>
      <c r="C419" s="17"/>
      <c r="D419" s="4">
        <v>415</v>
      </c>
      <c r="E419" s="4">
        <v>11660</v>
      </c>
      <c r="F419" s="4" t="str">
        <f t="shared" si="26"/>
        <v>2D8C</v>
      </c>
      <c r="G419" s="6" t="str">
        <f t="shared" ref="G419:G423" si="28">"pUmem_Sta_TBD_"&amp;F419</f>
        <v>pUmem_Sta_TBD_2D8C</v>
      </c>
      <c r="H419" s="6"/>
      <c r="I419" s="7"/>
    </row>
    <row r="420" spans="2:9" ht="17.100000000000001" customHeight="1" x14ac:dyDescent="0.3">
      <c r="B420" s="19"/>
      <c r="C420" s="17"/>
      <c r="D420" s="4">
        <v>416</v>
      </c>
      <c r="E420" s="4">
        <v>11664</v>
      </c>
      <c r="F420" s="4" t="str">
        <f t="shared" si="26"/>
        <v>2D90</v>
      </c>
      <c r="G420" s="6" t="str">
        <f t="shared" si="28"/>
        <v>pUmem_Sta_TBD_2D90</v>
      </c>
      <c r="H420" s="6"/>
      <c r="I420" s="7"/>
    </row>
    <row r="421" spans="2:9" ht="17.100000000000001" customHeight="1" x14ac:dyDescent="0.3">
      <c r="B421" s="19"/>
      <c r="C421" s="17"/>
      <c r="D421" s="4">
        <v>417</v>
      </c>
      <c r="E421" s="4">
        <v>11668</v>
      </c>
      <c r="F421" s="4" t="str">
        <f t="shared" si="26"/>
        <v>2D94</v>
      </c>
      <c r="G421" s="6" t="str">
        <f t="shared" si="28"/>
        <v>pUmem_Sta_TBD_2D94</v>
      </c>
      <c r="H421" s="6"/>
      <c r="I421" s="7"/>
    </row>
    <row r="422" spans="2:9" ht="17.100000000000001" customHeight="1" x14ac:dyDescent="0.3">
      <c r="B422" s="19"/>
      <c r="C422" s="17"/>
      <c r="D422" s="4">
        <v>418</v>
      </c>
      <c r="E422" s="4">
        <v>11672</v>
      </c>
      <c r="F422" s="4" t="str">
        <f t="shared" si="26"/>
        <v>2D98</v>
      </c>
      <c r="G422" s="6" t="str">
        <f t="shared" si="28"/>
        <v>pUmem_Sta_TBD_2D98</v>
      </c>
      <c r="H422" s="6"/>
      <c r="I422" s="7"/>
    </row>
    <row r="423" spans="2:9" ht="17.100000000000001" customHeight="1" x14ac:dyDescent="0.3">
      <c r="B423" s="19"/>
      <c r="C423" s="17"/>
      <c r="D423" s="4">
        <v>419</v>
      </c>
      <c r="E423" s="4">
        <v>11676</v>
      </c>
      <c r="F423" s="4" t="str">
        <f t="shared" si="26"/>
        <v>2D9C</v>
      </c>
      <c r="G423" s="6" t="str">
        <f t="shared" si="28"/>
        <v>pUmem_Sta_TBD_2D9C</v>
      </c>
      <c r="H423" s="6"/>
      <c r="I423" s="7"/>
    </row>
    <row r="424" spans="2:9" ht="17.100000000000001" customHeight="1" x14ac:dyDescent="0.3">
      <c r="B424" s="19"/>
      <c r="C424" s="17" t="s">
        <v>296</v>
      </c>
      <c r="D424" s="4">
        <v>420</v>
      </c>
      <c r="E424" s="4">
        <v>11680</v>
      </c>
      <c r="F424" s="4" t="str">
        <f t="shared" si="26"/>
        <v>2DA0</v>
      </c>
      <c r="G424" s="5" t="s">
        <v>862</v>
      </c>
      <c r="H424" s="5" t="s">
        <v>2143</v>
      </c>
      <c r="I424" s="4" t="s">
        <v>14</v>
      </c>
    </row>
    <row r="425" spans="2:9" ht="17.100000000000001" customHeight="1" x14ac:dyDescent="0.3">
      <c r="B425" s="19"/>
      <c r="C425" s="17"/>
      <c r="D425" s="4">
        <v>421</v>
      </c>
      <c r="E425" s="4">
        <v>11684</v>
      </c>
      <c r="F425" s="4" t="str">
        <f t="shared" si="26"/>
        <v>2DA4</v>
      </c>
      <c r="G425" s="5" t="s">
        <v>863</v>
      </c>
      <c r="H425" s="5" t="s">
        <v>2144</v>
      </c>
      <c r="I425" s="4" t="s">
        <v>14</v>
      </c>
    </row>
    <row r="426" spans="2:9" ht="17.100000000000001" customHeight="1" x14ac:dyDescent="0.3">
      <c r="B426" s="19"/>
      <c r="C426" s="17"/>
      <c r="D426" s="4">
        <v>422</v>
      </c>
      <c r="E426" s="4">
        <v>11688</v>
      </c>
      <c r="F426" s="4" t="str">
        <f t="shared" si="26"/>
        <v>2DA8</v>
      </c>
      <c r="G426" s="5" t="s">
        <v>864</v>
      </c>
      <c r="H426" s="5" t="s">
        <v>2145</v>
      </c>
      <c r="I426" s="4" t="s">
        <v>15</v>
      </c>
    </row>
    <row r="427" spans="2:9" ht="17.100000000000001" customHeight="1" x14ac:dyDescent="0.3">
      <c r="B427" s="19"/>
      <c r="C427" s="17"/>
      <c r="D427" s="4">
        <v>423</v>
      </c>
      <c r="E427" s="4">
        <v>11692</v>
      </c>
      <c r="F427" s="4" t="str">
        <f t="shared" si="26"/>
        <v>2DAC</v>
      </c>
      <c r="G427" s="5" t="s">
        <v>865</v>
      </c>
      <c r="H427" s="5" t="s">
        <v>2146</v>
      </c>
      <c r="I427" s="12">
        <v>1E-3</v>
      </c>
    </row>
    <row r="428" spans="2:9" ht="17.100000000000001" customHeight="1" x14ac:dyDescent="0.3">
      <c r="B428" s="19"/>
      <c r="C428" s="17"/>
      <c r="D428" s="4">
        <v>424</v>
      </c>
      <c r="E428" s="4">
        <v>11696</v>
      </c>
      <c r="F428" s="4" t="str">
        <f t="shared" si="26"/>
        <v>2DB0</v>
      </c>
      <c r="G428" s="5" t="s">
        <v>866</v>
      </c>
      <c r="H428" s="5" t="s">
        <v>2147</v>
      </c>
      <c r="I428" s="4" t="s">
        <v>5</v>
      </c>
    </row>
    <row r="429" spans="2:9" ht="17.100000000000001" customHeight="1" x14ac:dyDescent="0.3">
      <c r="B429" s="19"/>
      <c r="C429" s="17"/>
      <c r="D429" s="4">
        <v>425</v>
      </c>
      <c r="E429" s="4">
        <v>11700</v>
      </c>
      <c r="F429" s="4" t="str">
        <f t="shared" si="26"/>
        <v>2DB4</v>
      </c>
      <c r="G429" s="5" t="s">
        <v>867</v>
      </c>
      <c r="H429" s="5" t="s">
        <v>180</v>
      </c>
      <c r="I429" s="4" t="s">
        <v>5</v>
      </c>
    </row>
    <row r="430" spans="2:9" ht="17.100000000000001" customHeight="1" x14ac:dyDescent="0.3">
      <c r="B430" s="19"/>
      <c r="C430" s="17"/>
      <c r="D430" s="4">
        <v>426</v>
      </c>
      <c r="E430" s="4">
        <v>11704</v>
      </c>
      <c r="F430" s="4" t="str">
        <f t="shared" si="26"/>
        <v>2DB8</v>
      </c>
      <c r="G430" s="5" t="s">
        <v>868</v>
      </c>
      <c r="H430" s="5" t="s">
        <v>2148</v>
      </c>
      <c r="I430" s="4" t="s">
        <v>4</v>
      </c>
    </row>
    <row r="431" spans="2:9" ht="17.100000000000001" customHeight="1" x14ac:dyDescent="0.3">
      <c r="B431" s="19"/>
      <c r="C431" s="17"/>
      <c r="D431" s="4">
        <v>427</v>
      </c>
      <c r="E431" s="4">
        <v>11708</v>
      </c>
      <c r="F431" s="4" t="str">
        <f t="shared" si="26"/>
        <v>2DBC</v>
      </c>
      <c r="G431" s="5" t="s">
        <v>869</v>
      </c>
      <c r="H431" s="5" t="s">
        <v>2149</v>
      </c>
      <c r="I431" s="4" t="s">
        <v>4</v>
      </c>
    </row>
    <row r="432" spans="2:9" ht="17.100000000000001" customHeight="1" x14ac:dyDescent="0.3">
      <c r="B432" s="19"/>
      <c r="C432" s="17"/>
      <c r="D432" s="4">
        <v>428</v>
      </c>
      <c r="E432" s="4">
        <v>11712</v>
      </c>
      <c r="F432" s="4" t="str">
        <f t="shared" si="26"/>
        <v>2DC0</v>
      </c>
      <c r="G432" s="5" t="s">
        <v>870</v>
      </c>
      <c r="H432" s="5" t="s">
        <v>2150</v>
      </c>
      <c r="I432" s="4" t="s">
        <v>4</v>
      </c>
    </row>
    <row r="433" spans="2:9" ht="17.100000000000001" customHeight="1" x14ac:dyDescent="0.3">
      <c r="B433" s="19"/>
      <c r="C433" s="17"/>
      <c r="D433" s="4">
        <v>429</v>
      </c>
      <c r="E433" s="4">
        <v>11716</v>
      </c>
      <c r="F433" s="4" t="str">
        <f t="shared" si="26"/>
        <v>2DC4</v>
      </c>
      <c r="G433" s="5" t="s">
        <v>871</v>
      </c>
      <c r="H433" s="5" t="s">
        <v>2151</v>
      </c>
      <c r="I433" s="4" t="s">
        <v>4</v>
      </c>
    </row>
    <row r="434" spans="2:9" ht="17.100000000000001" customHeight="1" x14ac:dyDescent="0.3">
      <c r="B434" s="19"/>
      <c r="C434" s="17"/>
      <c r="D434" s="4">
        <v>430</v>
      </c>
      <c r="E434" s="4">
        <v>11720</v>
      </c>
      <c r="F434" s="4" t="str">
        <f t="shared" si="26"/>
        <v>2DC8</v>
      </c>
      <c r="G434" s="5" t="s">
        <v>872</v>
      </c>
      <c r="H434" s="5" t="s">
        <v>2152</v>
      </c>
      <c r="I434" s="4" t="s">
        <v>4</v>
      </c>
    </row>
    <row r="435" spans="2:9" ht="17.100000000000001" customHeight="1" x14ac:dyDescent="0.3">
      <c r="B435" s="19"/>
      <c r="C435" s="17"/>
      <c r="D435" s="4">
        <v>431</v>
      </c>
      <c r="E435" s="4">
        <v>11724</v>
      </c>
      <c r="F435" s="4" t="str">
        <f t="shared" si="26"/>
        <v>2DCC</v>
      </c>
      <c r="G435" s="5" t="s">
        <v>873</v>
      </c>
      <c r="H435" s="5" t="s">
        <v>2153</v>
      </c>
      <c r="I435" s="4" t="s">
        <v>4</v>
      </c>
    </row>
    <row r="436" spans="2:9" ht="17.100000000000001" customHeight="1" x14ac:dyDescent="0.3">
      <c r="B436" s="19"/>
      <c r="C436" s="17"/>
      <c r="D436" s="4">
        <v>432</v>
      </c>
      <c r="E436" s="4">
        <v>11728</v>
      </c>
      <c r="F436" s="4" t="str">
        <f t="shared" si="26"/>
        <v>2DD0</v>
      </c>
      <c r="G436" s="5" t="s">
        <v>874</v>
      </c>
      <c r="H436" s="5" t="s">
        <v>2154</v>
      </c>
      <c r="I436" s="4" t="s">
        <v>4</v>
      </c>
    </row>
    <row r="437" spans="2:9" ht="17.100000000000001" customHeight="1" x14ac:dyDescent="0.3">
      <c r="B437" s="19"/>
      <c r="C437" s="17"/>
      <c r="D437" s="4">
        <v>433</v>
      </c>
      <c r="E437" s="4">
        <v>11732</v>
      </c>
      <c r="F437" s="4" t="str">
        <f t="shared" si="26"/>
        <v>2DD4</v>
      </c>
      <c r="G437" s="5" t="s">
        <v>875</v>
      </c>
      <c r="H437" s="5" t="s">
        <v>2155</v>
      </c>
      <c r="I437" s="4" t="s">
        <v>4</v>
      </c>
    </row>
    <row r="438" spans="2:9" ht="17.100000000000001" customHeight="1" x14ac:dyDescent="0.3">
      <c r="B438" s="19"/>
      <c r="C438" s="17"/>
      <c r="D438" s="4">
        <v>434</v>
      </c>
      <c r="E438" s="4">
        <v>11736</v>
      </c>
      <c r="F438" s="4" t="str">
        <f t="shared" si="26"/>
        <v>2DD8</v>
      </c>
      <c r="G438" s="5" t="s">
        <v>876</v>
      </c>
      <c r="H438" s="5" t="s">
        <v>2156</v>
      </c>
      <c r="I438" s="4" t="s">
        <v>4</v>
      </c>
    </row>
    <row r="439" spans="2:9" ht="17.100000000000001" customHeight="1" x14ac:dyDescent="0.3">
      <c r="B439" s="19"/>
      <c r="C439" s="17"/>
      <c r="D439" s="4">
        <v>435</v>
      </c>
      <c r="E439" s="4">
        <v>11740</v>
      </c>
      <c r="F439" s="4" t="str">
        <f t="shared" si="26"/>
        <v>2DDC</v>
      </c>
      <c r="G439" s="6" t="str">
        <f t="shared" ref="G439:G443" si="29">"pUmem_Sta_TBD_"&amp;F439</f>
        <v>pUmem_Sta_TBD_2DDC</v>
      </c>
      <c r="H439" s="6"/>
      <c r="I439" s="7"/>
    </row>
    <row r="440" spans="2:9" ht="17.100000000000001" customHeight="1" x14ac:dyDescent="0.3">
      <c r="B440" s="19"/>
      <c r="C440" s="17"/>
      <c r="D440" s="4">
        <v>436</v>
      </c>
      <c r="E440" s="4">
        <v>11744</v>
      </c>
      <c r="F440" s="4" t="str">
        <f t="shared" si="26"/>
        <v>2DE0</v>
      </c>
      <c r="G440" s="6" t="str">
        <f t="shared" si="29"/>
        <v>pUmem_Sta_TBD_2DE0</v>
      </c>
      <c r="H440" s="6"/>
      <c r="I440" s="7"/>
    </row>
    <row r="441" spans="2:9" ht="17.100000000000001" customHeight="1" x14ac:dyDescent="0.3">
      <c r="B441" s="19"/>
      <c r="C441" s="17"/>
      <c r="D441" s="4">
        <v>437</v>
      </c>
      <c r="E441" s="4">
        <v>11748</v>
      </c>
      <c r="F441" s="4" t="str">
        <f t="shared" si="26"/>
        <v>2DE4</v>
      </c>
      <c r="G441" s="6" t="str">
        <f t="shared" si="29"/>
        <v>pUmem_Sta_TBD_2DE4</v>
      </c>
      <c r="H441" s="6"/>
      <c r="I441" s="7"/>
    </row>
    <row r="442" spans="2:9" ht="17.100000000000001" customHeight="1" x14ac:dyDescent="0.3">
      <c r="B442" s="19"/>
      <c r="C442" s="17"/>
      <c r="D442" s="4">
        <v>438</v>
      </c>
      <c r="E442" s="4">
        <v>11752</v>
      </c>
      <c r="F442" s="4" t="str">
        <f t="shared" si="26"/>
        <v>2DE8</v>
      </c>
      <c r="G442" s="6" t="str">
        <f t="shared" si="29"/>
        <v>pUmem_Sta_TBD_2DE8</v>
      </c>
      <c r="H442" s="6"/>
      <c r="I442" s="7"/>
    </row>
    <row r="443" spans="2:9" ht="17.100000000000001" customHeight="1" x14ac:dyDescent="0.3">
      <c r="B443" s="19"/>
      <c r="C443" s="17"/>
      <c r="D443" s="4">
        <v>439</v>
      </c>
      <c r="E443" s="4">
        <v>11756</v>
      </c>
      <c r="F443" s="4" t="str">
        <f t="shared" si="26"/>
        <v>2DEC</v>
      </c>
      <c r="G443" s="6" t="str">
        <f t="shared" si="29"/>
        <v>pUmem_Sta_TBD_2DEC</v>
      </c>
      <c r="H443" s="6"/>
      <c r="I443" s="7"/>
    </row>
    <row r="444" spans="2:9" ht="17.100000000000001" customHeight="1" x14ac:dyDescent="0.3">
      <c r="B444" s="19"/>
      <c r="C444" s="17" t="s">
        <v>297</v>
      </c>
      <c r="D444" s="4">
        <v>440</v>
      </c>
      <c r="E444" s="4">
        <v>11760</v>
      </c>
      <c r="F444" s="4" t="str">
        <f t="shared" si="26"/>
        <v>2DF0</v>
      </c>
      <c r="G444" s="5" t="s">
        <v>877</v>
      </c>
      <c r="H444" s="5" t="s">
        <v>2143</v>
      </c>
      <c r="I444" s="4" t="s">
        <v>14</v>
      </c>
    </row>
    <row r="445" spans="2:9" ht="17.100000000000001" customHeight="1" x14ac:dyDescent="0.3">
      <c r="B445" s="19"/>
      <c r="C445" s="17"/>
      <c r="D445" s="4">
        <v>441</v>
      </c>
      <c r="E445" s="4">
        <v>11764</v>
      </c>
      <c r="F445" s="4" t="str">
        <f t="shared" si="26"/>
        <v>2DF4</v>
      </c>
      <c r="G445" s="5" t="s">
        <v>878</v>
      </c>
      <c r="H445" s="5" t="s">
        <v>2144</v>
      </c>
      <c r="I445" s="4" t="s">
        <v>14</v>
      </c>
    </row>
    <row r="446" spans="2:9" ht="17.100000000000001" customHeight="1" x14ac:dyDescent="0.3">
      <c r="B446" s="19"/>
      <c r="C446" s="17"/>
      <c r="D446" s="4">
        <v>442</v>
      </c>
      <c r="E446" s="4">
        <v>11768</v>
      </c>
      <c r="F446" s="4" t="str">
        <f t="shared" si="26"/>
        <v>2DF8</v>
      </c>
      <c r="G446" s="5" t="s">
        <v>879</v>
      </c>
      <c r="H446" s="5" t="s">
        <v>2145</v>
      </c>
      <c r="I446" s="4" t="s">
        <v>15</v>
      </c>
    </row>
    <row r="447" spans="2:9" ht="17.100000000000001" customHeight="1" x14ac:dyDescent="0.3">
      <c r="B447" s="19"/>
      <c r="C447" s="17"/>
      <c r="D447" s="4">
        <v>443</v>
      </c>
      <c r="E447" s="4">
        <v>11772</v>
      </c>
      <c r="F447" s="4" t="str">
        <f t="shared" si="26"/>
        <v>2DFC</v>
      </c>
      <c r="G447" s="5" t="s">
        <v>880</v>
      </c>
      <c r="H447" s="5" t="s">
        <v>2146</v>
      </c>
      <c r="I447" s="12">
        <v>1E-3</v>
      </c>
    </row>
    <row r="448" spans="2:9" ht="17.100000000000001" customHeight="1" x14ac:dyDescent="0.3">
      <c r="B448" s="19"/>
      <c r="C448" s="17"/>
      <c r="D448" s="4">
        <v>444</v>
      </c>
      <c r="E448" s="4">
        <v>11776</v>
      </c>
      <c r="F448" s="4" t="str">
        <f t="shared" si="26"/>
        <v>2E00</v>
      </c>
      <c r="G448" s="5" t="s">
        <v>881</v>
      </c>
      <c r="H448" s="5" t="s">
        <v>2147</v>
      </c>
      <c r="I448" s="4" t="s">
        <v>5</v>
      </c>
    </row>
    <row r="449" spans="2:9" ht="17.100000000000001" customHeight="1" x14ac:dyDescent="0.3">
      <c r="B449" s="19"/>
      <c r="C449" s="17"/>
      <c r="D449" s="4">
        <v>445</v>
      </c>
      <c r="E449" s="4">
        <v>11780</v>
      </c>
      <c r="F449" s="4" t="str">
        <f t="shared" si="26"/>
        <v>2E04</v>
      </c>
      <c r="G449" s="5" t="s">
        <v>882</v>
      </c>
      <c r="H449" s="5" t="s">
        <v>180</v>
      </c>
      <c r="I449" s="4" t="s">
        <v>5</v>
      </c>
    </row>
    <row r="450" spans="2:9" ht="17.100000000000001" customHeight="1" x14ac:dyDescent="0.3">
      <c r="B450" s="19"/>
      <c r="C450" s="17"/>
      <c r="D450" s="4">
        <v>446</v>
      </c>
      <c r="E450" s="4">
        <v>11784</v>
      </c>
      <c r="F450" s="4" t="str">
        <f t="shared" si="26"/>
        <v>2E08</v>
      </c>
      <c r="G450" s="5" t="s">
        <v>883</v>
      </c>
      <c r="H450" s="5" t="s">
        <v>2148</v>
      </c>
      <c r="I450" s="4" t="s">
        <v>4</v>
      </c>
    </row>
    <row r="451" spans="2:9" ht="17.100000000000001" customHeight="1" x14ac:dyDescent="0.3">
      <c r="B451" s="19"/>
      <c r="C451" s="17"/>
      <c r="D451" s="4">
        <v>447</v>
      </c>
      <c r="E451" s="4">
        <v>11788</v>
      </c>
      <c r="F451" s="4" t="str">
        <f t="shared" si="26"/>
        <v>2E0C</v>
      </c>
      <c r="G451" s="5" t="s">
        <v>884</v>
      </c>
      <c r="H451" s="5" t="s">
        <v>2149</v>
      </c>
      <c r="I451" s="4" t="s">
        <v>4</v>
      </c>
    </row>
    <row r="452" spans="2:9" ht="17.100000000000001" customHeight="1" x14ac:dyDescent="0.3">
      <c r="B452" s="19"/>
      <c r="C452" s="17"/>
      <c r="D452" s="4">
        <v>448</v>
      </c>
      <c r="E452" s="4">
        <v>11792</v>
      </c>
      <c r="F452" s="4" t="str">
        <f t="shared" si="26"/>
        <v>2E10</v>
      </c>
      <c r="G452" s="5" t="s">
        <v>885</v>
      </c>
      <c r="H452" s="5" t="s">
        <v>2150</v>
      </c>
      <c r="I452" s="4" t="s">
        <v>4</v>
      </c>
    </row>
    <row r="453" spans="2:9" ht="17.100000000000001" customHeight="1" x14ac:dyDescent="0.3">
      <c r="B453" s="19"/>
      <c r="C453" s="17"/>
      <c r="D453" s="4">
        <v>449</v>
      </c>
      <c r="E453" s="4">
        <v>11796</v>
      </c>
      <c r="F453" s="4" t="str">
        <f t="shared" si="26"/>
        <v>2E14</v>
      </c>
      <c r="G453" s="5" t="s">
        <v>886</v>
      </c>
      <c r="H453" s="5" t="s">
        <v>2151</v>
      </c>
      <c r="I453" s="4" t="s">
        <v>4</v>
      </c>
    </row>
    <row r="454" spans="2:9" ht="17.100000000000001" customHeight="1" x14ac:dyDescent="0.3">
      <c r="B454" s="19"/>
      <c r="C454" s="17"/>
      <c r="D454" s="4">
        <v>450</v>
      </c>
      <c r="E454" s="4">
        <v>11800</v>
      </c>
      <c r="F454" s="4" t="str">
        <f t="shared" si="26"/>
        <v>2E18</v>
      </c>
      <c r="G454" s="5" t="s">
        <v>887</v>
      </c>
      <c r="H454" s="5" t="s">
        <v>2152</v>
      </c>
      <c r="I454" s="4" t="s">
        <v>4</v>
      </c>
    </row>
    <row r="455" spans="2:9" ht="17.100000000000001" customHeight="1" x14ac:dyDescent="0.3">
      <c r="B455" s="19"/>
      <c r="C455" s="17"/>
      <c r="D455" s="4">
        <v>451</v>
      </c>
      <c r="E455" s="4">
        <v>11804</v>
      </c>
      <c r="F455" s="4" t="str">
        <f t="shared" ref="F455:F518" si="30">DEC2HEX(E455)</f>
        <v>2E1C</v>
      </c>
      <c r="G455" s="5" t="s">
        <v>888</v>
      </c>
      <c r="H455" s="5" t="s">
        <v>2153</v>
      </c>
      <c r="I455" s="4" t="s">
        <v>4</v>
      </c>
    </row>
    <row r="456" spans="2:9" ht="17.100000000000001" customHeight="1" x14ac:dyDescent="0.3">
      <c r="B456" s="19"/>
      <c r="C456" s="17"/>
      <c r="D456" s="4">
        <v>452</v>
      </c>
      <c r="E456" s="4">
        <v>11808</v>
      </c>
      <c r="F456" s="4" t="str">
        <f t="shared" si="30"/>
        <v>2E20</v>
      </c>
      <c r="G456" s="5" t="s">
        <v>889</v>
      </c>
      <c r="H456" s="5" t="s">
        <v>2154</v>
      </c>
      <c r="I456" s="4" t="s">
        <v>4</v>
      </c>
    </row>
    <row r="457" spans="2:9" ht="17.100000000000001" customHeight="1" x14ac:dyDescent="0.3">
      <c r="B457" s="19"/>
      <c r="C457" s="17"/>
      <c r="D457" s="4">
        <v>453</v>
      </c>
      <c r="E457" s="4">
        <v>11812</v>
      </c>
      <c r="F457" s="4" t="str">
        <f t="shared" si="30"/>
        <v>2E24</v>
      </c>
      <c r="G457" s="5" t="s">
        <v>890</v>
      </c>
      <c r="H457" s="5" t="s">
        <v>2155</v>
      </c>
      <c r="I457" s="4" t="s">
        <v>4</v>
      </c>
    </row>
    <row r="458" spans="2:9" ht="17.100000000000001" customHeight="1" x14ac:dyDescent="0.3">
      <c r="B458" s="19"/>
      <c r="C458" s="17"/>
      <c r="D458" s="4">
        <v>454</v>
      </c>
      <c r="E458" s="4">
        <v>11816</v>
      </c>
      <c r="F458" s="4" t="str">
        <f t="shared" si="30"/>
        <v>2E28</v>
      </c>
      <c r="G458" s="5" t="s">
        <v>891</v>
      </c>
      <c r="H458" s="5" t="s">
        <v>2156</v>
      </c>
      <c r="I458" s="4" t="s">
        <v>4</v>
      </c>
    </row>
    <row r="459" spans="2:9" ht="17.100000000000001" customHeight="1" x14ac:dyDescent="0.3">
      <c r="B459" s="19"/>
      <c r="C459" s="17"/>
      <c r="D459" s="4">
        <v>455</v>
      </c>
      <c r="E459" s="4">
        <v>11820</v>
      </c>
      <c r="F459" s="4" t="str">
        <f t="shared" si="30"/>
        <v>2E2C</v>
      </c>
      <c r="G459" s="6" t="str">
        <f t="shared" ref="G459:G463" si="31">"pUmem_Sta_TBD_"&amp;F459</f>
        <v>pUmem_Sta_TBD_2E2C</v>
      </c>
      <c r="H459" s="6"/>
      <c r="I459" s="7"/>
    </row>
    <row r="460" spans="2:9" ht="17.100000000000001" customHeight="1" x14ac:dyDescent="0.3">
      <c r="B460" s="19"/>
      <c r="C460" s="17"/>
      <c r="D460" s="4">
        <v>456</v>
      </c>
      <c r="E460" s="4">
        <v>11824</v>
      </c>
      <c r="F460" s="4" t="str">
        <f t="shared" si="30"/>
        <v>2E30</v>
      </c>
      <c r="G460" s="6" t="str">
        <f t="shared" si="31"/>
        <v>pUmem_Sta_TBD_2E30</v>
      </c>
      <c r="H460" s="6"/>
      <c r="I460" s="7"/>
    </row>
    <row r="461" spans="2:9" ht="17.100000000000001" customHeight="1" x14ac:dyDescent="0.3">
      <c r="B461" s="19"/>
      <c r="C461" s="17"/>
      <c r="D461" s="4">
        <v>457</v>
      </c>
      <c r="E461" s="4">
        <v>11828</v>
      </c>
      <c r="F461" s="4" t="str">
        <f t="shared" si="30"/>
        <v>2E34</v>
      </c>
      <c r="G461" s="6" t="str">
        <f t="shared" si="31"/>
        <v>pUmem_Sta_TBD_2E34</v>
      </c>
      <c r="H461" s="6"/>
      <c r="I461" s="7"/>
    </row>
    <row r="462" spans="2:9" ht="17.100000000000001" customHeight="1" x14ac:dyDescent="0.3">
      <c r="B462" s="19"/>
      <c r="C462" s="17"/>
      <c r="D462" s="4">
        <v>458</v>
      </c>
      <c r="E462" s="4">
        <v>11832</v>
      </c>
      <c r="F462" s="4" t="str">
        <f t="shared" si="30"/>
        <v>2E38</v>
      </c>
      <c r="G462" s="6" t="str">
        <f t="shared" si="31"/>
        <v>pUmem_Sta_TBD_2E38</v>
      </c>
      <c r="H462" s="6"/>
      <c r="I462" s="7"/>
    </row>
    <row r="463" spans="2:9" ht="17.100000000000001" customHeight="1" x14ac:dyDescent="0.3">
      <c r="B463" s="19"/>
      <c r="C463" s="17"/>
      <c r="D463" s="4">
        <v>459</v>
      </c>
      <c r="E463" s="4">
        <v>11836</v>
      </c>
      <c r="F463" s="4" t="str">
        <f t="shared" si="30"/>
        <v>2E3C</v>
      </c>
      <c r="G463" s="6" t="str">
        <f t="shared" si="31"/>
        <v>pUmem_Sta_TBD_2E3C</v>
      </c>
      <c r="H463" s="6"/>
      <c r="I463" s="7"/>
    </row>
    <row r="464" spans="2:9" ht="17.100000000000001" customHeight="1" x14ac:dyDescent="0.3">
      <c r="B464" s="19"/>
      <c r="C464" s="17" t="s">
        <v>298</v>
      </c>
      <c r="D464" s="4">
        <v>460</v>
      </c>
      <c r="E464" s="4">
        <v>11840</v>
      </c>
      <c r="F464" s="4" t="str">
        <f t="shared" si="30"/>
        <v>2E40</v>
      </c>
      <c r="G464" s="5" t="s">
        <v>892</v>
      </c>
      <c r="H464" s="5" t="s">
        <v>2143</v>
      </c>
      <c r="I464" s="4" t="s">
        <v>14</v>
      </c>
    </row>
    <row r="465" spans="2:9" ht="17.100000000000001" customHeight="1" x14ac:dyDescent="0.3">
      <c r="B465" s="19"/>
      <c r="C465" s="17"/>
      <c r="D465" s="4">
        <v>461</v>
      </c>
      <c r="E465" s="4">
        <v>11844</v>
      </c>
      <c r="F465" s="4" t="str">
        <f t="shared" si="30"/>
        <v>2E44</v>
      </c>
      <c r="G465" s="5" t="s">
        <v>893</v>
      </c>
      <c r="H465" s="5" t="s">
        <v>2144</v>
      </c>
      <c r="I465" s="4" t="s">
        <v>14</v>
      </c>
    </row>
    <row r="466" spans="2:9" ht="17.100000000000001" customHeight="1" x14ac:dyDescent="0.3">
      <c r="B466" s="19"/>
      <c r="C466" s="17"/>
      <c r="D466" s="4">
        <v>462</v>
      </c>
      <c r="E466" s="4">
        <v>11848</v>
      </c>
      <c r="F466" s="4" t="str">
        <f t="shared" si="30"/>
        <v>2E48</v>
      </c>
      <c r="G466" s="5" t="s">
        <v>894</v>
      </c>
      <c r="H466" s="5" t="s">
        <v>2145</v>
      </c>
      <c r="I466" s="4" t="s">
        <v>15</v>
      </c>
    </row>
    <row r="467" spans="2:9" ht="17.100000000000001" customHeight="1" x14ac:dyDescent="0.3">
      <c r="B467" s="19"/>
      <c r="C467" s="17"/>
      <c r="D467" s="4">
        <v>463</v>
      </c>
      <c r="E467" s="4">
        <v>11852</v>
      </c>
      <c r="F467" s="4" t="str">
        <f t="shared" si="30"/>
        <v>2E4C</v>
      </c>
      <c r="G467" s="5" t="s">
        <v>895</v>
      </c>
      <c r="H467" s="5" t="s">
        <v>2146</v>
      </c>
      <c r="I467" s="12">
        <v>1E-3</v>
      </c>
    </row>
    <row r="468" spans="2:9" ht="17.100000000000001" customHeight="1" x14ac:dyDescent="0.3">
      <c r="B468" s="19"/>
      <c r="C468" s="17"/>
      <c r="D468" s="4">
        <v>464</v>
      </c>
      <c r="E468" s="4">
        <v>11856</v>
      </c>
      <c r="F468" s="4" t="str">
        <f t="shared" si="30"/>
        <v>2E50</v>
      </c>
      <c r="G468" s="5" t="s">
        <v>896</v>
      </c>
      <c r="H468" s="5" t="s">
        <v>2147</v>
      </c>
      <c r="I468" s="4" t="s">
        <v>5</v>
      </c>
    </row>
    <row r="469" spans="2:9" ht="17.100000000000001" customHeight="1" x14ac:dyDescent="0.3">
      <c r="B469" s="19"/>
      <c r="C469" s="17"/>
      <c r="D469" s="4">
        <v>465</v>
      </c>
      <c r="E469" s="4">
        <v>11860</v>
      </c>
      <c r="F469" s="4" t="str">
        <f t="shared" si="30"/>
        <v>2E54</v>
      </c>
      <c r="G469" s="5" t="s">
        <v>897</v>
      </c>
      <c r="H469" s="5" t="s">
        <v>180</v>
      </c>
      <c r="I469" s="4" t="s">
        <v>5</v>
      </c>
    </row>
    <row r="470" spans="2:9" ht="17.100000000000001" customHeight="1" x14ac:dyDescent="0.3">
      <c r="B470" s="19"/>
      <c r="C470" s="17"/>
      <c r="D470" s="4">
        <v>466</v>
      </c>
      <c r="E470" s="4">
        <v>11864</v>
      </c>
      <c r="F470" s="4" t="str">
        <f t="shared" si="30"/>
        <v>2E58</v>
      </c>
      <c r="G470" s="5" t="s">
        <v>898</v>
      </c>
      <c r="H470" s="5" t="s">
        <v>2148</v>
      </c>
      <c r="I470" s="4" t="s">
        <v>4</v>
      </c>
    </row>
    <row r="471" spans="2:9" ht="17.100000000000001" customHeight="1" x14ac:dyDescent="0.3">
      <c r="B471" s="19"/>
      <c r="C471" s="17"/>
      <c r="D471" s="4">
        <v>467</v>
      </c>
      <c r="E471" s="4">
        <v>11868</v>
      </c>
      <c r="F471" s="4" t="str">
        <f t="shared" si="30"/>
        <v>2E5C</v>
      </c>
      <c r="G471" s="5" t="s">
        <v>899</v>
      </c>
      <c r="H471" s="5" t="s">
        <v>2149</v>
      </c>
      <c r="I471" s="4" t="s">
        <v>4</v>
      </c>
    </row>
    <row r="472" spans="2:9" ht="17.100000000000001" customHeight="1" x14ac:dyDescent="0.3">
      <c r="B472" s="19"/>
      <c r="C472" s="17"/>
      <c r="D472" s="4">
        <v>468</v>
      </c>
      <c r="E472" s="4">
        <v>11872</v>
      </c>
      <c r="F472" s="4" t="str">
        <f t="shared" si="30"/>
        <v>2E60</v>
      </c>
      <c r="G472" s="5" t="s">
        <v>900</v>
      </c>
      <c r="H472" s="5" t="s">
        <v>2150</v>
      </c>
      <c r="I472" s="4" t="s">
        <v>4</v>
      </c>
    </row>
    <row r="473" spans="2:9" ht="17.100000000000001" customHeight="1" x14ac:dyDescent="0.3">
      <c r="B473" s="19"/>
      <c r="C473" s="17"/>
      <c r="D473" s="4">
        <v>469</v>
      </c>
      <c r="E473" s="4">
        <v>11876</v>
      </c>
      <c r="F473" s="4" t="str">
        <f t="shared" si="30"/>
        <v>2E64</v>
      </c>
      <c r="G473" s="5" t="s">
        <v>901</v>
      </c>
      <c r="H473" s="5" t="s">
        <v>2151</v>
      </c>
      <c r="I473" s="4" t="s">
        <v>4</v>
      </c>
    </row>
    <row r="474" spans="2:9" ht="17.100000000000001" customHeight="1" x14ac:dyDescent="0.3">
      <c r="B474" s="19"/>
      <c r="C474" s="17"/>
      <c r="D474" s="4">
        <v>470</v>
      </c>
      <c r="E474" s="4">
        <v>11880</v>
      </c>
      <c r="F474" s="4" t="str">
        <f t="shared" si="30"/>
        <v>2E68</v>
      </c>
      <c r="G474" s="5" t="s">
        <v>902</v>
      </c>
      <c r="H474" s="5" t="s">
        <v>2152</v>
      </c>
      <c r="I474" s="4" t="s">
        <v>4</v>
      </c>
    </row>
    <row r="475" spans="2:9" ht="17.100000000000001" customHeight="1" x14ac:dyDescent="0.3">
      <c r="B475" s="19"/>
      <c r="C475" s="17"/>
      <c r="D475" s="4">
        <v>471</v>
      </c>
      <c r="E475" s="4">
        <v>11884</v>
      </c>
      <c r="F475" s="4" t="str">
        <f t="shared" si="30"/>
        <v>2E6C</v>
      </c>
      <c r="G475" s="5" t="s">
        <v>903</v>
      </c>
      <c r="H475" s="5" t="s">
        <v>2153</v>
      </c>
      <c r="I475" s="4" t="s">
        <v>4</v>
      </c>
    </row>
    <row r="476" spans="2:9" ht="17.100000000000001" customHeight="1" x14ac:dyDescent="0.3">
      <c r="B476" s="19"/>
      <c r="C476" s="17"/>
      <c r="D476" s="4">
        <v>472</v>
      </c>
      <c r="E476" s="4">
        <v>11888</v>
      </c>
      <c r="F476" s="4" t="str">
        <f t="shared" si="30"/>
        <v>2E70</v>
      </c>
      <c r="G476" s="5" t="s">
        <v>904</v>
      </c>
      <c r="H476" s="5" t="s">
        <v>2154</v>
      </c>
      <c r="I476" s="4" t="s">
        <v>4</v>
      </c>
    </row>
    <row r="477" spans="2:9" ht="17.100000000000001" customHeight="1" x14ac:dyDescent="0.3">
      <c r="B477" s="19"/>
      <c r="C477" s="17"/>
      <c r="D477" s="4">
        <v>473</v>
      </c>
      <c r="E477" s="4">
        <v>11892</v>
      </c>
      <c r="F477" s="4" t="str">
        <f t="shared" si="30"/>
        <v>2E74</v>
      </c>
      <c r="G477" s="5" t="s">
        <v>905</v>
      </c>
      <c r="H477" s="5" t="s">
        <v>2155</v>
      </c>
      <c r="I477" s="4" t="s">
        <v>4</v>
      </c>
    </row>
    <row r="478" spans="2:9" ht="17.100000000000001" customHeight="1" x14ac:dyDescent="0.3">
      <c r="B478" s="19"/>
      <c r="C478" s="17"/>
      <c r="D478" s="4">
        <v>474</v>
      </c>
      <c r="E478" s="4">
        <v>11896</v>
      </c>
      <c r="F478" s="4" t="str">
        <f t="shared" si="30"/>
        <v>2E78</v>
      </c>
      <c r="G478" s="5" t="s">
        <v>906</v>
      </c>
      <c r="H478" s="5" t="s">
        <v>2156</v>
      </c>
      <c r="I478" s="4" t="s">
        <v>4</v>
      </c>
    </row>
    <row r="479" spans="2:9" ht="17.100000000000001" customHeight="1" x14ac:dyDescent="0.3">
      <c r="B479" s="19"/>
      <c r="C479" s="17"/>
      <c r="D479" s="4">
        <v>475</v>
      </c>
      <c r="E479" s="4">
        <v>11900</v>
      </c>
      <c r="F479" s="4" t="str">
        <f t="shared" si="30"/>
        <v>2E7C</v>
      </c>
      <c r="G479" s="6" t="str">
        <f t="shared" ref="G479:G483" si="32">"pUmem_Sta_TBD_"&amp;F479</f>
        <v>pUmem_Sta_TBD_2E7C</v>
      </c>
      <c r="H479" s="6"/>
      <c r="I479" s="7"/>
    </row>
    <row r="480" spans="2:9" ht="17.100000000000001" customHeight="1" x14ac:dyDescent="0.3">
      <c r="B480" s="19"/>
      <c r="C480" s="17"/>
      <c r="D480" s="4">
        <v>476</v>
      </c>
      <c r="E480" s="4">
        <v>11904</v>
      </c>
      <c r="F480" s="4" t="str">
        <f t="shared" si="30"/>
        <v>2E80</v>
      </c>
      <c r="G480" s="6" t="str">
        <f t="shared" si="32"/>
        <v>pUmem_Sta_TBD_2E80</v>
      </c>
      <c r="H480" s="6"/>
      <c r="I480" s="7"/>
    </row>
    <row r="481" spans="2:9" ht="17.100000000000001" customHeight="1" x14ac:dyDescent="0.3">
      <c r="B481" s="19"/>
      <c r="C481" s="17"/>
      <c r="D481" s="4">
        <v>477</v>
      </c>
      <c r="E481" s="4">
        <v>11908</v>
      </c>
      <c r="F481" s="4" t="str">
        <f t="shared" si="30"/>
        <v>2E84</v>
      </c>
      <c r="G481" s="6" t="str">
        <f t="shared" si="32"/>
        <v>pUmem_Sta_TBD_2E84</v>
      </c>
      <c r="H481" s="6"/>
      <c r="I481" s="7"/>
    </row>
    <row r="482" spans="2:9" ht="17.100000000000001" customHeight="1" x14ac:dyDescent="0.3">
      <c r="B482" s="19"/>
      <c r="C482" s="17"/>
      <c r="D482" s="4">
        <v>478</v>
      </c>
      <c r="E482" s="4">
        <v>11912</v>
      </c>
      <c r="F482" s="4" t="str">
        <f t="shared" si="30"/>
        <v>2E88</v>
      </c>
      <c r="G482" s="6" t="str">
        <f t="shared" si="32"/>
        <v>pUmem_Sta_TBD_2E88</v>
      </c>
      <c r="H482" s="6"/>
      <c r="I482" s="7"/>
    </row>
    <row r="483" spans="2:9" ht="17.100000000000001" customHeight="1" x14ac:dyDescent="0.3">
      <c r="B483" s="19"/>
      <c r="C483" s="17"/>
      <c r="D483" s="4">
        <v>479</v>
      </c>
      <c r="E483" s="4">
        <v>11916</v>
      </c>
      <c r="F483" s="4" t="str">
        <f t="shared" si="30"/>
        <v>2E8C</v>
      </c>
      <c r="G483" s="6" t="str">
        <f t="shared" si="32"/>
        <v>pUmem_Sta_TBD_2E8C</v>
      </c>
      <c r="H483" s="6"/>
      <c r="I483" s="7"/>
    </row>
    <row r="484" spans="2:9" ht="17.100000000000001" customHeight="1" x14ac:dyDescent="0.3">
      <c r="B484" s="19"/>
      <c r="C484" s="17" t="s">
        <v>299</v>
      </c>
      <c r="D484" s="4">
        <v>480</v>
      </c>
      <c r="E484" s="4">
        <v>11920</v>
      </c>
      <c r="F484" s="4" t="str">
        <f t="shared" si="30"/>
        <v>2E90</v>
      </c>
      <c r="G484" s="5" t="s">
        <v>907</v>
      </c>
      <c r="H484" s="5" t="s">
        <v>2143</v>
      </c>
      <c r="I484" s="4" t="s">
        <v>14</v>
      </c>
    </row>
    <row r="485" spans="2:9" ht="17.100000000000001" customHeight="1" x14ac:dyDescent="0.3">
      <c r="B485" s="19"/>
      <c r="C485" s="17"/>
      <c r="D485" s="4">
        <v>481</v>
      </c>
      <c r="E485" s="4">
        <v>11924</v>
      </c>
      <c r="F485" s="4" t="str">
        <f t="shared" si="30"/>
        <v>2E94</v>
      </c>
      <c r="G485" s="5" t="s">
        <v>908</v>
      </c>
      <c r="H485" s="5" t="s">
        <v>2144</v>
      </c>
      <c r="I485" s="4" t="s">
        <v>14</v>
      </c>
    </row>
    <row r="486" spans="2:9" ht="17.100000000000001" customHeight="1" x14ac:dyDescent="0.3">
      <c r="B486" s="19"/>
      <c r="C486" s="17"/>
      <c r="D486" s="4">
        <v>482</v>
      </c>
      <c r="E486" s="4">
        <v>11928</v>
      </c>
      <c r="F486" s="4" t="str">
        <f t="shared" si="30"/>
        <v>2E98</v>
      </c>
      <c r="G486" s="5" t="s">
        <v>909</v>
      </c>
      <c r="H486" s="5" t="s">
        <v>2145</v>
      </c>
      <c r="I486" s="4" t="s">
        <v>15</v>
      </c>
    </row>
    <row r="487" spans="2:9" ht="17.100000000000001" customHeight="1" x14ac:dyDescent="0.3">
      <c r="B487" s="19"/>
      <c r="C487" s="17"/>
      <c r="D487" s="4">
        <v>483</v>
      </c>
      <c r="E487" s="4">
        <v>11932</v>
      </c>
      <c r="F487" s="4" t="str">
        <f t="shared" si="30"/>
        <v>2E9C</v>
      </c>
      <c r="G487" s="5" t="s">
        <v>910</v>
      </c>
      <c r="H487" s="5" t="s">
        <v>2146</v>
      </c>
      <c r="I487" s="12">
        <v>1E-3</v>
      </c>
    </row>
    <row r="488" spans="2:9" ht="17.100000000000001" customHeight="1" x14ac:dyDescent="0.3">
      <c r="B488" s="19"/>
      <c r="C488" s="17"/>
      <c r="D488" s="4">
        <v>484</v>
      </c>
      <c r="E488" s="4">
        <v>11936</v>
      </c>
      <c r="F488" s="4" t="str">
        <f t="shared" si="30"/>
        <v>2EA0</v>
      </c>
      <c r="G488" s="5" t="s">
        <v>911</v>
      </c>
      <c r="H488" s="5" t="s">
        <v>2147</v>
      </c>
      <c r="I488" s="4" t="s">
        <v>5</v>
      </c>
    </row>
    <row r="489" spans="2:9" ht="17.100000000000001" customHeight="1" x14ac:dyDescent="0.3">
      <c r="B489" s="19"/>
      <c r="C489" s="17"/>
      <c r="D489" s="4">
        <v>485</v>
      </c>
      <c r="E489" s="4">
        <v>11940</v>
      </c>
      <c r="F489" s="4" t="str">
        <f t="shared" si="30"/>
        <v>2EA4</v>
      </c>
      <c r="G489" s="5" t="s">
        <v>912</v>
      </c>
      <c r="H489" s="5" t="s">
        <v>180</v>
      </c>
      <c r="I489" s="4" t="s">
        <v>5</v>
      </c>
    </row>
    <row r="490" spans="2:9" ht="17.100000000000001" customHeight="1" x14ac:dyDescent="0.3">
      <c r="B490" s="19"/>
      <c r="C490" s="17"/>
      <c r="D490" s="4">
        <v>486</v>
      </c>
      <c r="E490" s="4">
        <v>11944</v>
      </c>
      <c r="F490" s="4" t="str">
        <f t="shared" si="30"/>
        <v>2EA8</v>
      </c>
      <c r="G490" s="5" t="s">
        <v>913</v>
      </c>
      <c r="H490" s="5" t="s">
        <v>2148</v>
      </c>
      <c r="I490" s="4" t="s">
        <v>4</v>
      </c>
    </row>
    <row r="491" spans="2:9" ht="17.100000000000001" customHeight="1" x14ac:dyDescent="0.3">
      <c r="B491" s="19"/>
      <c r="C491" s="17"/>
      <c r="D491" s="4">
        <v>487</v>
      </c>
      <c r="E491" s="4">
        <v>11948</v>
      </c>
      <c r="F491" s="4" t="str">
        <f t="shared" si="30"/>
        <v>2EAC</v>
      </c>
      <c r="G491" s="5" t="s">
        <v>914</v>
      </c>
      <c r="H491" s="5" t="s">
        <v>2149</v>
      </c>
      <c r="I491" s="4" t="s">
        <v>4</v>
      </c>
    </row>
    <row r="492" spans="2:9" ht="17.100000000000001" customHeight="1" x14ac:dyDescent="0.3">
      <c r="B492" s="19"/>
      <c r="C492" s="17"/>
      <c r="D492" s="4">
        <v>488</v>
      </c>
      <c r="E492" s="4">
        <v>11952</v>
      </c>
      <c r="F492" s="4" t="str">
        <f t="shared" si="30"/>
        <v>2EB0</v>
      </c>
      <c r="G492" s="5" t="s">
        <v>915</v>
      </c>
      <c r="H492" s="5" t="s">
        <v>2150</v>
      </c>
      <c r="I492" s="4" t="s">
        <v>4</v>
      </c>
    </row>
    <row r="493" spans="2:9" ht="17.100000000000001" customHeight="1" x14ac:dyDescent="0.3">
      <c r="B493" s="19"/>
      <c r="C493" s="17"/>
      <c r="D493" s="4">
        <v>489</v>
      </c>
      <c r="E493" s="4">
        <v>11956</v>
      </c>
      <c r="F493" s="4" t="str">
        <f t="shared" si="30"/>
        <v>2EB4</v>
      </c>
      <c r="G493" s="5" t="s">
        <v>916</v>
      </c>
      <c r="H493" s="5" t="s">
        <v>2151</v>
      </c>
      <c r="I493" s="4" t="s">
        <v>4</v>
      </c>
    </row>
    <row r="494" spans="2:9" ht="17.100000000000001" customHeight="1" x14ac:dyDescent="0.3">
      <c r="B494" s="19"/>
      <c r="C494" s="17"/>
      <c r="D494" s="4">
        <v>490</v>
      </c>
      <c r="E494" s="4">
        <v>11960</v>
      </c>
      <c r="F494" s="4" t="str">
        <f t="shared" si="30"/>
        <v>2EB8</v>
      </c>
      <c r="G494" s="5" t="s">
        <v>917</v>
      </c>
      <c r="H494" s="5" t="s">
        <v>2152</v>
      </c>
      <c r="I494" s="4" t="s">
        <v>4</v>
      </c>
    </row>
    <row r="495" spans="2:9" ht="17.100000000000001" customHeight="1" x14ac:dyDescent="0.3">
      <c r="B495" s="19"/>
      <c r="C495" s="17"/>
      <c r="D495" s="4">
        <v>491</v>
      </c>
      <c r="E495" s="4">
        <v>11964</v>
      </c>
      <c r="F495" s="4" t="str">
        <f t="shared" si="30"/>
        <v>2EBC</v>
      </c>
      <c r="G495" s="5" t="s">
        <v>918</v>
      </c>
      <c r="H495" s="5" t="s">
        <v>2153</v>
      </c>
      <c r="I495" s="4" t="s">
        <v>4</v>
      </c>
    </row>
    <row r="496" spans="2:9" ht="17.100000000000001" customHeight="1" x14ac:dyDescent="0.3">
      <c r="B496" s="19"/>
      <c r="C496" s="17"/>
      <c r="D496" s="4">
        <v>492</v>
      </c>
      <c r="E496" s="4">
        <v>11968</v>
      </c>
      <c r="F496" s="4" t="str">
        <f t="shared" si="30"/>
        <v>2EC0</v>
      </c>
      <c r="G496" s="5" t="s">
        <v>919</v>
      </c>
      <c r="H496" s="5" t="s">
        <v>2154</v>
      </c>
      <c r="I496" s="4" t="s">
        <v>4</v>
      </c>
    </row>
    <row r="497" spans="2:9" ht="17.100000000000001" customHeight="1" x14ac:dyDescent="0.3">
      <c r="B497" s="19"/>
      <c r="C497" s="17"/>
      <c r="D497" s="4">
        <v>493</v>
      </c>
      <c r="E497" s="4">
        <v>11972</v>
      </c>
      <c r="F497" s="4" t="str">
        <f t="shared" si="30"/>
        <v>2EC4</v>
      </c>
      <c r="G497" s="5" t="s">
        <v>920</v>
      </c>
      <c r="H497" s="5" t="s">
        <v>2155</v>
      </c>
      <c r="I497" s="4" t="s">
        <v>4</v>
      </c>
    </row>
    <row r="498" spans="2:9" ht="17.100000000000001" customHeight="1" x14ac:dyDescent="0.3">
      <c r="B498" s="19"/>
      <c r="C498" s="17"/>
      <c r="D498" s="4">
        <v>494</v>
      </c>
      <c r="E498" s="4">
        <v>11976</v>
      </c>
      <c r="F498" s="4" t="str">
        <f t="shared" si="30"/>
        <v>2EC8</v>
      </c>
      <c r="G498" s="5" t="s">
        <v>921</v>
      </c>
      <c r="H498" s="5" t="s">
        <v>2156</v>
      </c>
      <c r="I498" s="4" t="s">
        <v>4</v>
      </c>
    </row>
    <row r="499" spans="2:9" ht="17.100000000000001" customHeight="1" x14ac:dyDescent="0.3">
      <c r="B499" s="19"/>
      <c r="C499" s="17"/>
      <c r="D499" s="4">
        <v>495</v>
      </c>
      <c r="E499" s="4">
        <v>11980</v>
      </c>
      <c r="F499" s="4" t="str">
        <f t="shared" si="30"/>
        <v>2ECC</v>
      </c>
      <c r="G499" s="6" t="str">
        <f t="shared" ref="G499:G503" si="33">"pUmem_Sta_TBD_"&amp;F499</f>
        <v>pUmem_Sta_TBD_2ECC</v>
      </c>
      <c r="H499" s="6"/>
      <c r="I499" s="7"/>
    </row>
    <row r="500" spans="2:9" ht="17.100000000000001" customHeight="1" x14ac:dyDescent="0.3">
      <c r="B500" s="19"/>
      <c r="C500" s="17"/>
      <c r="D500" s="4">
        <v>496</v>
      </c>
      <c r="E500" s="4">
        <v>11984</v>
      </c>
      <c r="F500" s="4" t="str">
        <f t="shared" si="30"/>
        <v>2ED0</v>
      </c>
      <c r="G500" s="6" t="str">
        <f t="shared" si="33"/>
        <v>pUmem_Sta_TBD_2ED0</v>
      </c>
      <c r="H500" s="6"/>
      <c r="I500" s="7"/>
    </row>
    <row r="501" spans="2:9" ht="17.100000000000001" customHeight="1" x14ac:dyDescent="0.3">
      <c r="B501" s="19"/>
      <c r="C501" s="17"/>
      <c r="D501" s="4">
        <v>497</v>
      </c>
      <c r="E501" s="4">
        <v>11988</v>
      </c>
      <c r="F501" s="4" t="str">
        <f t="shared" si="30"/>
        <v>2ED4</v>
      </c>
      <c r="G501" s="6" t="str">
        <f t="shared" si="33"/>
        <v>pUmem_Sta_TBD_2ED4</v>
      </c>
      <c r="H501" s="6"/>
      <c r="I501" s="7"/>
    </row>
    <row r="502" spans="2:9" ht="17.100000000000001" customHeight="1" x14ac:dyDescent="0.3">
      <c r="B502" s="19"/>
      <c r="C502" s="17"/>
      <c r="D502" s="4">
        <v>498</v>
      </c>
      <c r="E502" s="4">
        <v>11992</v>
      </c>
      <c r="F502" s="4" t="str">
        <f t="shared" si="30"/>
        <v>2ED8</v>
      </c>
      <c r="G502" s="6" t="str">
        <f t="shared" si="33"/>
        <v>pUmem_Sta_TBD_2ED8</v>
      </c>
      <c r="H502" s="6"/>
      <c r="I502" s="7"/>
    </row>
    <row r="503" spans="2:9" ht="17.100000000000001" customHeight="1" x14ac:dyDescent="0.3">
      <c r="B503" s="19"/>
      <c r="C503" s="17"/>
      <c r="D503" s="4">
        <v>499</v>
      </c>
      <c r="E503" s="4">
        <v>11996</v>
      </c>
      <c r="F503" s="4" t="str">
        <f t="shared" si="30"/>
        <v>2EDC</v>
      </c>
      <c r="G503" s="6" t="str">
        <f t="shared" si="33"/>
        <v>pUmem_Sta_TBD_2EDC</v>
      </c>
      <c r="H503" s="6"/>
      <c r="I503" s="7"/>
    </row>
    <row r="504" spans="2:9" ht="17.100000000000001" customHeight="1" x14ac:dyDescent="0.3">
      <c r="B504" s="19"/>
      <c r="C504" s="17" t="s">
        <v>300</v>
      </c>
      <c r="D504" s="4">
        <v>500</v>
      </c>
      <c r="E504" s="4">
        <v>12000</v>
      </c>
      <c r="F504" s="4" t="str">
        <f t="shared" si="30"/>
        <v>2EE0</v>
      </c>
      <c r="G504" s="5" t="s">
        <v>922</v>
      </c>
      <c r="H504" s="5" t="s">
        <v>2143</v>
      </c>
      <c r="I504" s="4" t="s">
        <v>14</v>
      </c>
    </row>
    <row r="505" spans="2:9" ht="17.100000000000001" customHeight="1" x14ac:dyDescent="0.3">
      <c r="B505" s="19"/>
      <c r="C505" s="17"/>
      <c r="D505" s="4">
        <v>501</v>
      </c>
      <c r="E505" s="4">
        <v>12004</v>
      </c>
      <c r="F505" s="4" t="str">
        <f t="shared" si="30"/>
        <v>2EE4</v>
      </c>
      <c r="G505" s="5" t="s">
        <v>923</v>
      </c>
      <c r="H505" s="5" t="s">
        <v>2144</v>
      </c>
      <c r="I505" s="4" t="s">
        <v>14</v>
      </c>
    </row>
    <row r="506" spans="2:9" ht="17.100000000000001" customHeight="1" x14ac:dyDescent="0.3">
      <c r="B506" s="19"/>
      <c r="C506" s="17"/>
      <c r="D506" s="4">
        <v>502</v>
      </c>
      <c r="E506" s="4">
        <v>12008</v>
      </c>
      <c r="F506" s="4" t="str">
        <f t="shared" si="30"/>
        <v>2EE8</v>
      </c>
      <c r="G506" s="5" t="s">
        <v>924</v>
      </c>
      <c r="H506" s="5" t="s">
        <v>2145</v>
      </c>
      <c r="I506" s="4" t="s">
        <v>15</v>
      </c>
    </row>
    <row r="507" spans="2:9" ht="17.100000000000001" customHeight="1" x14ac:dyDescent="0.3">
      <c r="B507" s="19"/>
      <c r="C507" s="17"/>
      <c r="D507" s="4">
        <v>503</v>
      </c>
      <c r="E507" s="4">
        <v>12012</v>
      </c>
      <c r="F507" s="4" t="str">
        <f t="shared" si="30"/>
        <v>2EEC</v>
      </c>
      <c r="G507" s="5" t="s">
        <v>925</v>
      </c>
      <c r="H507" s="5" t="s">
        <v>2146</v>
      </c>
      <c r="I507" s="12">
        <v>1E-3</v>
      </c>
    </row>
    <row r="508" spans="2:9" ht="17.100000000000001" customHeight="1" x14ac:dyDescent="0.3">
      <c r="B508" s="19"/>
      <c r="C508" s="17"/>
      <c r="D508" s="4">
        <v>504</v>
      </c>
      <c r="E508" s="4">
        <v>12016</v>
      </c>
      <c r="F508" s="4" t="str">
        <f t="shared" si="30"/>
        <v>2EF0</v>
      </c>
      <c r="G508" s="5" t="s">
        <v>926</v>
      </c>
      <c r="H508" s="5" t="s">
        <v>2147</v>
      </c>
      <c r="I508" s="4" t="s">
        <v>5</v>
      </c>
    </row>
    <row r="509" spans="2:9" ht="17.100000000000001" customHeight="1" x14ac:dyDescent="0.3">
      <c r="B509" s="19"/>
      <c r="C509" s="17"/>
      <c r="D509" s="4">
        <v>505</v>
      </c>
      <c r="E509" s="4">
        <v>12020</v>
      </c>
      <c r="F509" s="4" t="str">
        <f t="shared" si="30"/>
        <v>2EF4</v>
      </c>
      <c r="G509" s="5" t="s">
        <v>927</v>
      </c>
      <c r="H509" s="5" t="s">
        <v>180</v>
      </c>
      <c r="I509" s="4" t="s">
        <v>5</v>
      </c>
    </row>
    <row r="510" spans="2:9" ht="17.100000000000001" customHeight="1" x14ac:dyDescent="0.3">
      <c r="B510" s="19"/>
      <c r="C510" s="17"/>
      <c r="D510" s="4">
        <v>506</v>
      </c>
      <c r="E510" s="4">
        <v>12024</v>
      </c>
      <c r="F510" s="4" t="str">
        <f t="shared" si="30"/>
        <v>2EF8</v>
      </c>
      <c r="G510" s="5" t="s">
        <v>928</v>
      </c>
      <c r="H510" s="5" t="s">
        <v>2148</v>
      </c>
      <c r="I510" s="4" t="s">
        <v>4</v>
      </c>
    </row>
    <row r="511" spans="2:9" ht="17.100000000000001" customHeight="1" x14ac:dyDescent="0.3">
      <c r="B511" s="19"/>
      <c r="C511" s="17"/>
      <c r="D511" s="4">
        <v>507</v>
      </c>
      <c r="E511" s="4">
        <v>12028</v>
      </c>
      <c r="F511" s="4" t="str">
        <f t="shared" si="30"/>
        <v>2EFC</v>
      </c>
      <c r="G511" s="5" t="s">
        <v>929</v>
      </c>
      <c r="H511" s="5" t="s">
        <v>2149</v>
      </c>
      <c r="I511" s="4" t="s">
        <v>4</v>
      </c>
    </row>
    <row r="512" spans="2:9" ht="17.100000000000001" customHeight="1" x14ac:dyDescent="0.3">
      <c r="B512" s="19"/>
      <c r="C512" s="17"/>
      <c r="D512" s="4">
        <v>508</v>
      </c>
      <c r="E512" s="4">
        <v>12032</v>
      </c>
      <c r="F512" s="4" t="str">
        <f t="shared" si="30"/>
        <v>2F00</v>
      </c>
      <c r="G512" s="5" t="s">
        <v>930</v>
      </c>
      <c r="H512" s="5" t="s">
        <v>2150</v>
      </c>
      <c r="I512" s="4" t="s">
        <v>4</v>
      </c>
    </row>
    <row r="513" spans="2:9" ht="17.100000000000001" customHeight="1" x14ac:dyDescent="0.3">
      <c r="B513" s="19"/>
      <c r="C513" s="17"/>
      <c r="D513" s="4">
        <v>509</v>
      </c>
      <c r="E513" s="4">
        <v>12036</v>
      </c>
      <c r="F513" s="4" t="str">
        <f t="shared" si="30"/>
        <v>2F04</v>
      </c>
      <c r="G513" s="5" t="s">
        <v>931</v>
      </c>
      <c r="H513" s="5" t="s">
        <v>2151</v>
      </c>
      <c r="I513" s="4" t="s">
        <v>4</v>
      </c>
    </row>
    <row r="514" spans="2:9" ht="17.100000000000001" customHeight="1" x14ac:dyDescent="0.3">
      <c r="B514" s="19"/>
      <c r="C514" s="17"/>
      <c r="D514" s="4">
        <v>510</v>
      </c>
      <c r="E514" s="4">
        <v>12040</v>
      </c>
      <c r="F514" s="4" t="str">
        <f t="shared" si="30"/>
        <v>2F08</v>
      </c>
      <c r="G514" s="5" t="s">
        <v>932</v>
      </c>
      <c r="H514" s="5" t="s">
        <v>2152</v>
      </c>
      <c r="I514" s="4" t="s">
        <v>4</v>
      </c>
    </row>
    <row r="515" spans="2:9" ht="17.100000000000001" customHeight="1" x14ac:dyDescent="0.3">
      <c r="B515" s="19"/>
      <c r="C515" s="17"/>
      <c r="D515" s="4">
        <v>511</v>
      </c>
      <c r="E515" s="4">
        <v>12044</v>
      </c>
      <c r="F515" s="4" t="str">
        <f t="shared" si="30"/>
        <v>2F0C</v>
      </c>
      <c r="G515" s="5" t="s">
        <v>933</v>
      </c>
      <c r="H515" s="5" t="s">
        <v>2153</v>
      </c>
      <c r="I515" s="4" t="s">
        <v>4</v>
      </c>
    </row>
    <row r="516" spans="2:9" ht="17.100000000000001" customHeight="1" x14ac:dyDescent="0.3">
      <c r="B516" s="19"/>
      <c r="C516" s="17"/>
      <c r="D516" s="4">
        <v>512</v>
      </c>
      <c r="E516" s="4">
        <v>12048</v>
      </c>
      <c r="F516" s="4" t="str">
        <f t="shared" si="30"/>
        <v>2F10</v>
      </c>
      <c r="G516" s="5" t="s">
        <v>934</v>
      </c>
      <c r="H516" s="5" t="s">
        <v>2154</v>
      </c>
      <c r="I516" s="4" t="s">
        <v>4</v>
      </c>
    </row>
    <row r="517" spans="2:9" ht="17.100000000000001" customHeight="1" x14ac:dyDescent="0.3">
      <c r="B517" s="19"/>
      <c r="C517" s="17"/>
      <c r="D517" s="4">
        <v>513</v>
      </c>
      <c r="E517" s="4">
        <v>12052</v>
      </c>
      <c r="F517" s="4" t="str">
        <f t="shared" si="30"/>
        <v>2F14</v>
      </c>
      <c r="G517" s="5" t="s">
        <v>935</v>
      </c>
      <c r="H517" s="5" t="s">
        <v>2155</v>
      </c>
      <c r="I517" s="4" t="s">
        <v>4</v>
      </c>
    </row>
    <row r="518" spans="2:9" ht="17.100000000000001" customHeight="1" x14ac:dyDescent="0.3">
      <c r="B518" s="19"/>
      <c r="C518" s="17"/>
      <c r="D518" s="4">
        <v>514</v>
      </c>
      <c r="E518" s="4">
        <v>12056</v>
      </c>
      <c r="F518" s="4" t="str">
        <f t="shared" si="30"/>
        <v>2F18</v>
      </c>
      <c r="G518" s="5" t="s">
        <v>936</v>
      </c>
      <c r="H518" s="5" t="s">
        <v>2156</v>
      </c>
      <c r="I518" s="4" t="s">
        <v>4</v>
      </c>
    </row>
    <row r="519" spans="2:9" ht="17.100000000000001" customHeight="1" x14ac:dyDescent="0.3">
      <c r="B519" s="19"/>
      <c r="C519" s="17"/>
      <c r="D519" s="4">
        <v>515</v>
      </c>
      <c r="E519" s="4">
        <v>12060</v>
      </c>
      <c r="F519" s="4" t="str">
        <f t="shared" ref="F519:F582" si="34">DEC2HEX(E519)</f>
        <v>2F1C</v>
      </c>
      <c r="G519" s="6" t="str">
        <f t="shared" ref="G519:G523" si="35">"pUmem_Sta_TBD_"&amp;F519</f>
        <v>pUmem_Sta_TBD_2F1C</v>
      </c>
      <c r="H519" s="6"/>
      <c r="I519" s="7"/>
    </row>
    <row r="520" spans="2:9" ht="17.100000000000001" customHeight="1" x14ac:dyDescent="0.3">
      <c r="B520" s="19"/>
      <c r="C520" s="17"/>
      <c r="D520" s="4">
        <v>516</v>
      </c>
      <c r="E520" s="4">
        <v>12064</v>
      </c>
      <c r="F520" s="4" t="str">
        <f t="shared" si="34"/>
        <v>2F20</v>
      </c>
      <c r="G520" s="6" t="str">
        <f t="shared" si="35"/>
        <v>pUmem_Sta_TBD_2F20</v>
      </c>
      <c r="H520" s="6"/>
      <c r="I520" s="7"/>
    </row>
    <row r="521" spans="2:9" ht="17.100000000000001" customHeight="1" x14ac:dyDescent="0.3">
      <c r="B521" s="19"/>
      <c r="C521" s="17"/>
      <c r="D521" s="4">
        <v>517</v>
      </c>
      <c r="E521" s="4">
        <v>12068</v>
      </c>
      <c r="F521" s="4" t="str">
        <f t="shared" si="34"/>
        <v>2F24</v>
      </c>
      <c r="G521" s="6" t="str">
        <f t="shared" si="35"/>
        <v>pUmem_Sta_TBD_2F24</v>
      </c>
      <c r="H521" s="6"/>
      <c r="I521" s="7"/>
    </row>
    <row r="522" spans="2:9" ht="17.100000000000001" customHeight="1" x14ac:dyDescent="0.3">
      <c r="B522" s="19"/>
      <c r="C522" s="17"/>
      <c r="D522" s="4">
        <v>518</v>
      </c>
      <c r="E522" s="4">
        <v>12072</v>
      </c>
      <c r="F522" s="4" t="str">
        <f t="shared" si="34"/>
        <v>2F28</v>
      </c>
      <c r="G522" s="6" t="str">
        <f t="shared" si="35"/>
        <v>pUmem_Sta_TBD_2F28</v>
      </c>
      <c r="H522" s="6"/>
      <c r="I522" s="7"/>
    </row>
    <row r="523" spans="2:9" ht="17.100000000000001" customHeight="1" x14ac:dyDescent="0.3">
      <c r="B523" s="19"/>
      <c r="C523" s="17"/>
      <c r="D523" s="4">
        <v>519</v>
      </c>
      <c r="E523" s="4">
        <v>12076</v>
      </c>
      <c r="F523" s="4" t="str">
        <f t="shared" si="34"/>
        <v>2F2C</v>
      </c>
      <c r="G523" s="6" t="str">
        <f t="shared" si="35"/>
        <v>pUmem_Sta_TBD_2F2C</v>
      </c>
      <c r="H523" s="6"/>
      <c r="I523" s="7"/>
    </row>
    <row r="524" spans="2:9" ht="17.100000000000001" customHeight="1" x14ac:dyDescent="0.3">
      <c r="B524" s="19"/>
      <c r="C524" s="17" t="s">
        <v>301</v>
      </c>
      <c r="D524" s="4">
        <v>520</v>
      </c>
      <c r="E524" s="4">
        <v>12080</v>
      </c>
      <c r="F524" s="4" t="str">
        <f t="shared" si="34"/>
        <v>2F30</v>
      </c>
      <c r="G524" s="5" t="s">
        <v>937</v>
      </c>
      <c r="H524" s="5" t="s">
        <v>2143</v>
      </c>
      <c r="I524" s="4" t="s">
        <v>14</v>
      </c>
    </row>
    <row r="525" spans="2:9" ht="17.100000000000001" customHeight="1" x14ac:dyDescent="0.3">
      <c r="B525" s="19"/>
      <c r="C525" s="17"/>
      <c r="D525" s="4">
        <v>521</v>
      </c>
      <c r="E525" s="4">
        <v>12084</v>
      </c>
      <c r="F525" s="4" t="str">
        <f t="shared" si="34"/>
        <v>2F34</v>
      </c>
      <c r="G525" s="5" t="s">
        <v>938</v>
      </c>
      <c r="H525" s="5" t="s">
        <v>2144</v>
      </c>
      <c r="I525" s="4" t="s">
        <v>14</v>
      </c>
    </row>
    <row r="526" spans="2:9" ht="17.100000000000001" customHeight="1" x14ac:dyDescent="0.3">
      <c r="B526" s="19"/>
      <c r="C526" s="17"/>
      <c r="D526" s="4">
        <v>522</v>
      </c>
      <c r="E526" s="4">
        <v>12088</v>
      </c>
      <c r="F526" s="4" t="str">
        <f t="shared" si="34"/>
        <v>2F38</v>
      </c>
      <c r="G526" s="5" t="s">
        <v>939</v>
      </c>
      <c r="H526" s="5" t="s">
        <v>2145</v>
      </c>
      <c r="I526" s="4" t="s">
        <v>15</v>
      </c>
    </row>
    <row r="527" spans="2:9" ht="17.100000000000001" customHeight="1" x14ac:dyDescent="0.3">
      <c r="B527" s="19"/>
      <c r="C527" s="17"/>
      <c r="D527" s="4">
        <v>523</v>
      </c>
      <c r="E527" s="4">
        <v>12092</v>
      </c>
      <c r="F527" s="4" t="str">
        <f t="shared" si="34"/>
        <v>2F3C</v>
      </c>
      <c r="G527" s="5" t="s">
        <v>940</v>
      </c>
      <c r="H527" s="5" t="s">
        <v>2146</v>
      </c>
      <c r="I527" s="12">
        <v>1E-3</v>
      </c>
    </row>
    <row r="528" spans="2:9" ht="17.100000000000001" customHeight="1" x14ac:dyDescent="0.3">
      <c r="B528" s="19"/>
      <c r="C528" s="17"/>
      <c r="D528" s="4">
        <v>524</v>
      </c>
      <c r="E528" s="4">
        <v>12096</v>
      </c>
      <c r="F528" s="4" t="str">
        <f t="shared" si="34"/>
        <v>2F40</v>
      </c>
      <c r="G528" s="5" t="s">
        <v>941</v>
      </c>
      <c r="H528" s="5" t="s">
        <v>2147</v>
      </c>
      <c r="I528" s="4" t="s">
        <v>5</v>
      </c>
    </row>
    <row r="529" spans="2:9" ht="17.100000000000001" customHeight="1" x14ac:dyDescent="0.3">
      <c r="B529" s="19"/>
      <c r="C529" s="17"/>
      <c r="D529" s="4">
        <v>525</v>
      </c>
      <c r="E529" s="4">
        <v>12100</v>
      </c>
      <c r="F529" s="4" t="str">
        <f t="shared" si="34"/>
        <v>2F44</v>
      </c>
      <c r="G529" s="5" t="s">
        <v>942</v>
      </c>
      <c r="H529" s="5" t="s">
        <v>180</v>
      </c>
      <c r="I529" s="4" t="s">
        <v>5</v>
      </c>
    </row>
    <row r="530" spans="2:9" ht="17.100000000000001" customHeight="1" x14ac:dyDescent="0.3">
      <c r="B530" s="19"/>
      <c r="C530" s="17"/>
      <c r="D530" s="4">
        <v>526</v>
      </c>
      <c r="E530" s="4">
        <v>12104</v>
      </c>
      <c r="F530" s="4" t="str">
        <f t="shared" si="34"/>
        <v>2F48</v>
      </c>
      <c r="G530" s="5" t="s">
        <v>943</v>
      </c>
      <c r="H530" s="5" t="s">
        <v>2148</v>
      </c>
      <c r="I530" s="4" t="s">
        <v>4</v>
      </c>
    </row>
    <row r="531" spans="2:9" ht="17.100000000000001" customHeight="1" x14ac:dyDescent="0.3">
      <c r="B531" s="19"/>
      <c r="C531" s="17"/>
      <c r="D531" s="4">
        <v>527</v>
      </c>
      <c r="E531" s="4">
        <v>12108</v>
      </c>
      <c r="F531" s="4" t="str">
        <f t="shared" si="34"/>
        <v>2F4C</v>
      </c>
      <c r="G531" s="5" t="s">
        <v>944</v>
      </c>
      <c r="H531" s="5" t="s">
        <v>2149</v>
      </c>
      <c r="I531" s="4" t="s">
        <v>4</v>
      </c>
    </row>
    <row r="532" spans="2:9" ht="17.100000000000001" customHeight="1" x14ac:dyDescent="0.3">
      <c r="B532" s="19"/>
      <c r="C532" s="17"/>
      <c r="D532" s="4">
        <v>528</v>
      </c>
      <c r="E532" s="4">
        <v>12112</v>
      </c>
      <c r="F532" s="4" t="str">
        <f t="shared" si="34"/>
        <v>2F50</v>
      </c>
      <c r="G532" s="5" t="s">
        <v>945</v>
      </c>
      <c r="H532" s="5" t="s">
        <v>2150</v>
      </c>
      <c r="I532" s="4" t="s">
        <v>4</v>
      </c>
    </row>
    <row r="533" spans="2:9" ht="17.100000000000001" customHeight="1" x14ac:dyDescent="0.3">
      <c r="B533" s="19"/>
      <c r="C533" s="17"/>
      <c r="D533" s="4">
        <v>529</v>
      </c>
      <c r="E533" s="4">
        <v>12116</v>
      </c>
      <c r="F533" s="4" t="str">
        <f t="shared" si="34"/>
        <v>2F54</v>
      </c>
      <c r="G533" s="5" t="s">
        <v>946</v>
      </c>
      <c r="H533" s="5" t="s">
        <v>2151</v>
      </c>
      <c r="I533" s="4" t="s">
        <v>4</v>
      </c>
    </row>
    <row r="534" spans="2:9" ht="17.100000000000001" customHeight="1" x14ac:dyDescent="0.3">
      <c r="B534" s="19"/>
      <c r="C534" s="17"/>
      <c r="D534" s="4">
        <v>530</v>
      </c>
      <c r="E534" s="4">
        <v>12120</v>
      </c>
      <c r="F534" s="4" t="str">
        <f t="shared" si="34"/>
        <v>2F58</v>
      </c>
      <c r="G534" s="5" t="s">
        <v>947</v>
      </c>
      <c r="H534" s="5" t="s">
        <v>2152</v>
      </c>
      <c r="I534" s="4" t="s">
        <v>4</v>
      </c>
    </row>
    <row r="535" spans="2:9" ht="17.100000000000001" customHeight="1" x14ac:dyDescent="0.3">
      <c r="B535" s="19"/>
      <c r="C535" s="17"/>
      <c r="D535" s="4">
        <v>531</v>
      </c>
      <c r="E535" s="4">
        <v>12124</v>
      </c>
      <c r="F535" s="4" t="str">
        <f t="shared" si="34"/>
        <v>2F5C</v>
      </c>
      <c r="G535" s="5" t="s">
        <v>948</v>
      </c>
      <c r="H535" s="5" t="s">
        <v>2153</v>
      </c>
      <c r="I535" s="4" t="s">
        <v>4</v>
      </c>
    </row>
    <row r="536" spans="2:9" ht="17.100000000000001" customHeight="1" x14ac:dyDescent="0.3">
      <c r="B536" s="19"/>
      <c r="C536" s="17"/>
      <c r="D536" s="4">
        <v>532</v>
      </c>
      <c r="E536" s="4">
        <v>12128</v>
      </c>
      <c r="F536" s="4" t="str">
        <f t="shared" si="34"/>
        <v>2F60</v>
      </c>
      <c r="G536" s="5" t="s">
        <v>949</v>
      </c>
      <c r="H536" s="5" t="s">
        <v>2154</v>
      </c>
      <c r="I536" s="4" t="s">
        <v>4</v>
      </c>
    </row>
    <row r="537" spans="2:9" ht="17.100000000000001" customHeight="1" x14ac:dyDescent="0.3">
      <c r="B537" s="19"/>
      <c r="C537" s="17"/>
      <c r="D537" s="4">
        <v>533</v>
      </c>
      <c r="E537" s="4">
        <v>12132</v>
      </c>
      <c r="F537" s="4" t="str">
        <f t="shared" si="34"/>
        <v>2F64</v>
      </c>
      <c r="G537" s="5" t="s">
        <v>950</v>
      </c>
      <c r="H537" s="5" t="s">
        <v>2155</v>
      </c>
      <c r="I537" s="4" t="s">
        <v>4</v>
      </c>
    </row>
    <row r="538" spans="2:9" ht="17.100000000000001" customHeight="1" x14ac:dyDescent="0.3">
      <c r="B538" s="19"/>
      <c r="C538" s="17"/>
      <c r="D538" s="4">
        <v>534</v>
      </c>
      <c r="E538" s="4">
        <v>12136</v>
      </c>
      <c r="F538" s="4" t="str">
        <f t="shared" si="34"/>
        <v>2F68</v>
      </c>
      <c r="G538" s="5" t="s">
        <v>951</v>
      </c>
      <c r="H538" s="5" t="s">
        <v>2156</v>
      </c>
      <c r="I538" s="4" t="s">
        <v>4</v>
      </c>
    </row>
    <row r="539" spans="2:9" ht="17.100000000000001" customHeight="1" x14ac:dyDescent="0.3">
      <c r="B539" s="19"/>
      <c r="C539" s="17"/>
      <c r="D539" s="4">
        <v>535</v>
      </c>
      <c r="E539" s="4">
        <v>12140</v>
      </c>
      <c r="F539" s="4" t="str">
        <f t="shared" si="34"/>
        <v>2F6C</v>
      </c>
      <c r="G539" s="6" t="str">
        <f t="shared" ref="G539:G543" si="36">"pUmem_Sta_TBD_"&amp;F539</f>
        <v>pUmem_Sta_TBD_2F6C</v>
      </c>
      <c r="H539" s="6"/>
      <c r="I539" s="7"/>
    </row>
    <row r="540" spans="2:9" ht="17.100000000000001" customHeight="1" x14ac:dyDescent="0.3">
      <c r="B540" s="19"/>
      <c r="C540" s="17"/>
      <c r="D540" s="4">
        <v>536</v>
      </c>
      <c r="E540" s="4">
        <v>12144</v>
      </c>
      <c r="F540" s="4" t="str">
        <f t="shared" si="34"/>
        <v>2F70</v>
      </c>
      <c r="G540" s="6" t="str">
        <f t="shared" si="36"/>
        <v>pUmem_Sta_TBD_2F70</v>
      </c>
      <c r="H540" s="6"/>
      <c r="I540" s="7"/>
    </row>
    <row r="541" spans="2:9" ht="17.100000000000001" customHeight="1" x14ac:dyDescent="0.3">
      <c r="B541" s="19"/>
      <c r="C541" s="17"/>
      <c r="D541" s="4">
        <v>537</v>
      </c>
      <c r="E541" s="4">
        <v>12148</v>
      </c>
      <c r="F541" s="4" t="str">
        <f t="shared" si="34"/>
        <v>2F74</v>
      </c>
      <c r="G541" s="6" t="str">
        <f t="shared" si="36"/>
        <v>pUmem_Sta_TBD_2F74</v>
      </c>
      <c r="H541" s="6"/>
      <c r="I541" s="7"/>
    </row>
    <row r="542" spans="2:9" ht="17.100000000000001" customHeight="1" x14ac:dyDescent="0.3">
      <c r="B542" s="19"/>
      <c r="C542" s="17"/>
      <c r="D542" s="4">
        <v>538</v>
      </c>
      <c r="E542" s="4">
        <v>12152</v>
      </c>
      <c r="F542" s="4" t="str">
        <f t="shared" si="34"/>
        <v>2F78</v>
      </c>
      <c r="G542" s="6" t="str">
        <f t="shared" si="36"/>
        <v>pUmem_Sta_TBD_2F78</v>
      </c>
      <c r="H542" s="6"/>
      <c r="I542" s="7"/>
    </row>
    <row r="543" spans="2:9" ht="17.100000000000001" customHeight="1" x14ac:dyDescent="0.3">
      <c r="B543" s="19"/>
      <c r="C543" s="17"/>
      <c r="D543" s="4">
        <v>539</v>
      </c>
      <c r="E543" s="4">
        <v>12156</v>
      </c>
      <c r="F543" s="4" t="str">
        <f t="shared" si="34"/>
        <v>2F7C</v>
      </c>
      <c r="G543" s="6" t="str">
        <f t="shared" si="36"/>
        <v>pUmem_Sta_TBD_2F7C</v>
      </c>
      <c r="H543" s="6"/>
      <c r="I543" s="7"/>
    </row>
    <row r="544" spans="2:9" ht="17.100000000000001" customHeight="1" x14ac:dyDescent="0.3">
      <c r="B544" s="19"/>
      <c r="C544" s="17" t="s">
        <v>302</v>
      </c>
      <c r="D544" s="4">
        <v>540</v>
      </c>
      <c r="E544" s="4">
        <v>12160</v>
      </c>
      <c r="F544" s="4" t="str">
        <f t="shared" si="34"/>
        <v>2F80</v>
      </c>
      <c r="G544" s="5" t="s">
        <v>952</v>
      </c>
      <c r="H544" s="5" t="s">
        <v>2143</v>
      </c>
      <c r="I544" s="4" t="s">
        <v>14</v>
      </c>
    </row>
    <row r="545" spans="2:9" ht="17.100000000000001" customHeight="1" x14ac:dyDescent="0.3">
      <c r="B545" s="19"/>
      <c r="C545" s="17"/>
      <c r="D545" s="4">
        <v>541</v>
      </c>
      <c r="E545" s="4">
        <v>12164</v>
      </c>
      <c r="F545" s="4" t="str">
        <f t="shared" si="34"/>
        <v>2F84</v>
      </c>
      <c r="G545" s="5" t="s">
        <v>953</v>
      </c>
      <c r="H545" s="5" t="s">
        <v>2144</v>
      </c>
      <c r="I545" s="4" t="s">
        <v>14</v>
      </c>
    </row>
    <row r="546" spans="2:9" ht="17.100000000000001" customHeight="1" x14ac:dyDescent="0.3">
      <c r="B546" s="19"/>
      <c r="C546" s="17"/>
      <c r="D546" s="4">
        <v>542</v>
      </c>
      <c r="E546" s="4">
        <v>12168</v>
      </c>
      <c r="F546" s="4" t="str">
        <f t="shared" si="34"/>
        <v>2F88</v>
      </c>
      <c r="G546" s="5" t="s">
        <v>954</v>
      </c>
      <c r="H546" s="5" t="s">
        <v>2145</v>
      </c>
      <c r="I546" s="4" t="s">
        <v>15</v>
      </c>
    </row>
    <row r="547" spans="2:9" ht="17.100000000000001" customHeight="1" x14ac:dyDescent="0.3">
      <c r="B547" s="19"/>
      <c r="C547" s="17"/>
      <c r="D547" s="4">
        <v>543</v>
      </c>
      <c r="E547" s="4">
        <v>12172</v>
      </c>
      <c r="F547" s="4" t="str">
        <f t="shared" si="34"/>
        <v>2F8C</v>
      </c>
      <c r="G547" s="5" t="s">
        <v>955</v>
      </c>
      <c r="H547" s="5" t="s">
        <v>2146</v>
      </c>
      <c r="I547" s="12">
        <v>1E-3</v>
      </c>
    </row>
    <row r="548" spans="2:9" ht="17.100000000000001" customHeight="1" x14ac:dyDescent="0.3">
      <c r="B548" s="19"/>
      <c r="C548" s="17"/>
      <c r="D548" s="4">
        <v>544</v>
      </c>
      <c r="E548" s="4">
        <v>12176</v>
      </c>
      <c r="F548" s="4" t="str">
        <f t="shared" si="34"/>
        <v>2F90</v>
      </c>
      <c r="G548" s="5" t="s">
        <v>956</v>
      </c>
      <c r="H548" s="5" t="s">
        <v>2147</v>
      </c>
      <c r="I548" s="4" t="s">
        <v>5</v>
      </c>
    </row>
    <row r="549" spans="2:9" ht="17.100000000000001" customHeight="1" x14ac:dyDescent="0.3">
      <c r="B549" s="19"/>
      <c r="C549" s="17"/>
      <c r="D549" s="4">
        <v>545</v>
      </c>
      <c r="E549" s="4">
        <v>12180</v>
      </c>
      <c r="F549" s="4" t="str">
        <f t="shared" si="34"/>
        <v>2F94</v>
      </c>
      <c r="G549" s="5" t="s">
        <v>957</v>
      </c>
      <c r="H549" s="5" t="s">
        <v>180</v>
      </c>
      <c r="I549" s="4" t="s">
        <v>5</v>
      </c>
    </row>
    <row r="550" spans="2:9" ht="17.100000000000001" customHeight="1" x14ac:dyDescent="0.3">
      <c r="B550" s="19"/>
      <c r="C550" s="17"/>
      <c r="D550" s="4">
        <v>546</v>
      </c>
      <c r="E550" s="4">
        <v>12184</v>
      </c>
      <c r="F550" s="4" t="str">
        <f t="shared" si="34"/>
        <v>2F98</v>
      </c>
      <c r="G550" s="5" t="s">
        <v>958</v>
      </c>
      <c r="H550" s="5" t="s">
        <v>2148</v>
      </c>
      <c r="I550" s="4" t="s">
        <v>4</v>
      </c>
    </row>
    <row r="551" spans="2:9" ht="17.100000000000001" customHeight="1" x14ac:dyDescent="0.3">
      <c r="B551" s="19"/>
      <c r="C551" s="17"/>
      <c r="D551" s="4">
        <v>547</v>
      </c>
      <c r="E551" s="4">
        <v>12188</v>
      </c>
      <c r="F551" s="4" t="str">
        <f t="shared" si="34"/>
        <v>2F9C</v>
      </c>
      <c r="G551" s="5" t="s">
        <v>959</v>
      </c>
      <c r="H551" s="5" t="s">
        <v>2149</v>
      </c>
      <c r="I551" s="4" t="s">
        <v>4</v>
      </c>
    </row>
    <row r="552" spans="2:9" ht="17.100000000000001" customHeight="1" x14ac:dyDescent="0.3">
      <c r="B552" s="19"/>
      <c r="C552" s="17"/>
      <c r="D552" s="4">
        <v>548</v>
      </c>
      <c r="E552" s="4">
        <v>12192</v>
      </c>
      <c r="F552" s="4" t="str">
        <f t="shared" si="34"/>
        <v>2FA0</v>
      </c>
      <c r="G552" s="5" t="s">
        <v>960</v>
      </c>
      <c r="H552" s="5" t="s">
        <v>2150</v>
      </c>
      <c r="I552" s="4" t="s">
        <v>4</v>
      </c>
    </row>
    <row r="553" spans="2:9" ht="17.100000000000001" customHeight="1" x14ac:dyDescent="0.3">
      <c r="B553" s="19"/>
      <c r="C553" s="17"/>
      <c r="D553" s="4">
        <v>549</v>
      </c>
      <c r="E553" s="4">
        <v>12196</v>
      </c>
      <c r="F553" s="4" t="str">
        <f t="shared" si="34"/>
        <v>2FA4</v>
      </c>
      <c r="G553" s="5" t="s">
        <v>961</v>
      </c>
      <c r="H553" s="5" t="s">
        <v>2151</v>
      </c>
      <c r="I553" s="4" t="s">
        <v>4</v>
      </c>
    </row>
    <row r="554" spans="2:9" ht="17.100000000000001" customHeight="1" x14ac:dyDescent="0.3">
      <c r="B554" s="19"/>
      <c r="C554" s="17"/>
      <c r="D554" s="4">
        <v>550</v>
      </c>
      <c r="E554" s="4">
        <v>12200</v>
      </c>
      <c r="F554" s="4" t="str">
        <f t="shared" si="34"/>
        <v>2FA8</v>
      </c>
      <c r="G554" s="5" t="s">
        <v>962</v>
      </c>
      <c r="H554" s="5" t="s">
        <v>2152</v>
      </c>
      <c r="I554" s="4" t="s">
        <v>4</v>
      </c>
    </row>
    <row r="555" spans="2:9" ht="17.100000000000001" customHeight="1" x14ac:dyDescent="0.3">
      <c r="B555" s="19"/>
      <c r="C555" s="17"/>
      <c r="D555" s="4">
        <v>551</v>
      </c>
      <c r="E555" s="4">
        <v>12204</v>
      </c>
      <c r="F555" s="4" t="str">
        <f t="shared" si="34"/>
        <v>2FAC</v>
      </c>
      <c r="G555" s="5" t="s">
        <v>963</v>
      </c>
      <c r="H555" s="5" t="s">
        <v>2153</v>
      </c>
      <c r="I555" s="4" t="s">
        <v>4</v>
      </c>
    </row>
    <row r="556" spans="2:9" ht="17.100000000000001" customHeight="1" x14ac:dyDescent="0.3">
      <c r="B556" s="19"/>
      <c r="C556" s="17"/>
      <c r="D556" s="4">
        <v>552</v>
      </c>
      <c r="E556" s="4">
        <v>12208</v>
      </c>
      <c r="F556" s="4" t="str">
        <f t="shared" si="34"/>
        <v>2FB0</v>
      </c>
      <c r="G556" s="5" t="s">
        <v>964</v>
      </c>
      <c r="H556" s="5" t="s">
        <v>2154</v>
      </c>
      <c r="I556" s="4" t="s">
        <v>4</v>
      </c>
    </row>
    <row r="557" spans="2:9" ht="17.100000000000001" customHeight="1" x14ac:dyDescent="0.3">
      <c r="B557" s="19"/>
      <c r="C557" s="17"/>
      <c r="D557" s="4">
        <v>553</v>
      </c>
      <c r="E557" s="4">
        <v>12212</v>
      </c>
      <c r="F557" s="4" t="str">
        <f t="shared" si="34"/>
        <v>2FB4</v>
      </c>
      <c r="G557" s="5" t="s">
        <v>965</v>
      </c>
      <c r="H557" s="5" t="s">
        <v>2155</v>
      </c>
      <c r="I557" s="4" t="s">
        <v>4</v>
      </c>
    </row>
    <row r="558" spans="2:9" ht="17.100000000000001" customHeight="1" x14ac:dyDescent="0.3">
      <c r="B558" s="19"/>
      <c r="C558" s="17"/>
      <c r="D558" s="4">
        <v>554</v>
      </c>
      <c r="E558" s="4">
        <v>12216</v>
      </c>
      <c r="F558" s="4" t="str">
        <f t="shared" si="34"/>
        <v>2FB8</v>
      </c>
      <c r="G558" s="5" t="s">
        <v>966</v>
      </c>
      <c r="H558" s="5" t="s">
        <v>2156</v>
      </c>
      <c r="I558" s="4" t="s">
        <v>4</v>
      </c>
    </row>
    <row r="559" spans="2:9" ht="17.100000000000001" customHeight="1" x14ac:dyDescent="0.3">
      <c r="B559" s="19"/>
      <c r="C559" s="17"/>
      <c r="D559" s="4">
        <v>555</v>
      </c>
      <c r="E559" s="4">
        <v>12220</v>
      </c>
      <c r="F559" s="4" t="str">
        <f t="shared" si="34"/>
        <v>2FBC</v>
      </c>
      <c r="G559" s="6" t="str">
        <f t="shared" ref="G559:G563" si="37">"pUmem_Sta_TBD_"&amp;F559</f>
        <v>pUmem_Sta_TBD_2FBC</v>
      </c>
      <c r="H559" s="6"/>
      <c r="I559" s="7"/>
    </row>
    <row r="560" spans="2:9" ht="17.100000000000001" customHeight="1" x14ac:dyDescent="0.3">
      <c r="B560" s="19"/>
      <c r="C560" s="17"/>
      <c r="D560" s="4">
        <v>556</v>
      </c>
      <c r="E560" s="4">
        <v>12224</v>
      </c>
      <c r="F560" s="4" t="str">
        <f t="shared" si="34"/>
        <v>2FC0</v>
      </c>
      <c r="G560" s="6" t="str">
        <f t="shared" si="37"/>
        <v>pUmem_Sta_TBD_2FC0</v>
      </c>
      <c r="H560" s="6"/>
      <c r="I560" s="7"/>
    </row>
    <row r="561" spans="2:9" ht="17.100000000000001" customHeight="1" x14ac:dyDescent="0.3">
      <c r="B561" s="19"/>
      <c r="C561" s="17"/>
      <c r="D561" s="4">
        <v>557</v>
      </c>
      <c r="E561" s="4">
        <v>12228</v>
      </c>
      <c r="F561" s="4" t="str">
        <f t="shared" si="34"/>
        <v>2FC4</v>
      </c>
      <c r="G561" s="6" t="str">
        <f t="shared" si="37"/>
        <v>pUmem_Sta_TBD_2FC4</v>
      </c>
      <c r="H561" s="6"/>
      <c r="I561" s="7"/>
    </row>
    <row r="562" spans="2:9" ht="17.100000000000001" customHeight="1" x14ac:dyDescent="0.3">
      <c r="B562" s="19"/>
      <c r="C562" s="17"/>
      <c r="D562" s="4">
        <v>558</v>
      </c>
      <c r="E562" s="4">
        <v>12232</v>
      </c>
      <c r="F562" s="4" t="str">
        <f t="shared" si="34"/>
        <v>2FC8</v>
      </c>
      <c r="G562" s="6" t="str">
        <f t="shared" si="37"/>
        <v>pUmem_Sta_TBD_2FC8</v>
      </c>
      <c r="H562" s="6"/>
      <c r="I562" s="7"/>
    </row>
    <row r="563" spans="2:9" ht="17.100000000000001" customHeight="1" x14ac:dyDescent="0.3">
      <c r="B563" s="19"/>
      <c r="C563" s="17"/>
      <c r="D563" s="4">
        <v>559</v>
      </c>
      <c r="E563" s="4">
        <v>12236</v>
      </c>
      <c r="F563" s="4" t="str">
        <f t="shared" si="34"/>
        <v>2FCC</v>
      </c>
      <c r="G563" s="6" t="str">
        <f t="shared" si="37"/>
        <v>pUmem_Sta_TBD_2FCC</v>
      </c>
      <c r="H563" s="6"/>
      <c r="I563" s="7"/>
    </row>
    <row r="564" spans="2:9" ht="17.100000000000001" customHeight="1" x14ac:dyDescent="0.3">
      <c r="B564" s="19"/>
      <c r="C564" s="17" t="s">
        <v>303</v>
      </c>
      <c r="D564" s="4">
        <v>560</v>
      </c>
      <c r="E564" s="4">
        <v>12240</v>
      </c>
      <c r="F564" s="4" t="str">
        <f t="shared" si="34"/>
        <v>2FD0</v>
      </c>
      <c r="G564" s="5" t="s">
        <v>967</v>
      </c>
      <c r="H564" s="5" t="s">
        <v>2143</v>
      </c>
      <c r="I564" s="4" t="s">
        <v>14</v>
      </c>
    </row>
    <row r="565" spans="2:9" ht="17.100000000000001" customHeight="1" x14ac:dyDescent="0.3">
      <c r="B565" s="19"/>
      <c r="C565" s="17"/>
      <c r="D565" s="4">
        <v>561</v>
      </c>
      <c r="E565" s="4">
        <v>12244</v>
      </c>
      <c r="F565" s="4" t="str">
        <f t="shared" si="34"/>
        <v>2FD4</v>
      </c>
      <c r="G565" s="5" t="s">
        <v>968</v>
      </c>
      <c r="H565" s="5" t="s">
        <v>2144</v>
      </c>
      <c r="I565" s="4" t="s">
        <v>14</v>
      </c>
    </row>
    <row r="566" spans="2:9" ht="17.100000000000001" customHeight="1" x14ac:dyDescent="0.3">
      <c r="B566" s="19"/>
      <c r="C566" s="17"/>
      <c r="D566" s="4">
        <v>562</v>
      </c>
      <c r="E566" s="4">
        <v>12248</v>
      </c>
      <c r="F566" s="4" t="str">
        <f t="shared" si="34"/>
        <v>2FD8</v>
      </c>
      <c r="G566" s="5" t="s">
        <v>969</v>
      </c>
      <c r="H566" s="5" t="s">
        <v>2145</v>
      </c>
      <c r="I566" s="4" t="s">
        <v>15</v>
      </c>
    </row>
    <row r="567" spans="2:9" ht="17.100000000000001" customHeight="1" x14ac:dyDescent="0.3">
      <c r="B567" s="19"/>
      <c r="C567" s="17"/>
      <c r="D567" s="4">
        <v>563</v>
      </c>
      <c r="E567" s="4">
        <v>12252</v>
      </c>
      <c r="F567" s="4" t="str">
        <f t="shared" si="34"/>
        <v>2FDC</v>
      </c>
      <c r="G567" s="5" t="s">
        <v>970</v>
      </c>
      <c r="H567" s="5" t="s">
        <v>2146</v>
      </c>
      <c r="I567" s="12">
        <v>1E-3</v>
      </c>
    </row>
    <row r="568" spans="2:9" ht="17.100000000000001" customHeight="1" x14ac:dyDescent="0.3">
      <c r="B568" s="19"/>
      <c r="C568" s="17"/>
      <c r="D568" s="4">
        <v>564</v>
      </c>
      <c r="E568" s="4">
        <v>12256</v>
      </c>
      <c r="F568" s="4" t="str">
        <f t="shared" si="34"/>
        <v>2FE0</v>
      </c>
      <c r="G568" s="5" t="s">
        <v>971</v>
      </c>
      <c r="H568" s="5" t="s">
        <v>2147</v>
      </c>
      <c r="I568" s="4" t="s">
        <v>5</v>
      </c>
    </row>
    <row r="569" spans="2:9" ht="17.100000000000001" customHeight="1" x14ac:dyDescent="0.3">
      <c r="B569" s="19"/>
      <c r="C569" s="17"/>
      <c r="D569" s="4">
        <v>565</v>
      </c>
      <c r="E569" s="4">
        <v>12260</v>
      </c>
      <c r="F569" s="4" t="str">
        <f t="shared" si="34"/>
        <v>2FE4</v>
      </c>
      <c r="G569" s="5" t="s">
        <v>972</v>
      </c>
      <c r="H569" s="5" t="s">
        <v>180</v>
      </c>
      <c r="I569" s="4" t="s">
        <v>5</v>
      </c>
    </row>
    <row r="570" spans="2:9" ht="17.100000000000001" customHeight="1" x14ac:dyDescent="0.3">
      <c r="B570" s="19"/>
      <c r="C570" s="17"/>
      <c r="D570" s="4">
        <v>566</v>
      </c>
      <c r="E570" s="4">
        <v>12264</v>
      </c>
      <c r="F570" s="4" t="str">
        <f t="shared" si="34"/>
        <v>2FE8</v>
      </c>
      <c r="G570" s="5" t="s">
        <v>973</v>
      </c>
      <c r="H570" s="5" t="s">
        <v>2148</v>
      </c>
      <c r="I570" s="4" t="s">
        <v>4</v>
      </c>
    </row>
    <row r="571" spans="2:9" ht="17.100000000000001" customHeight="1" x14ac:dyDescent="0.3">
      <c r="B571" s="19"/>
      <c r="C571" s="17"/>
      <c r="D571" s="4">
        <v>567</v>
      </c>
      <c r="E571" s="4">
        <v>12268</v>
      </c>
      <c r="F571" s="4" t="str">
        <f t="shared" si="34"/>
        <v>2FEC</v>
      </c>
      <c r="G571" s="5" t="s">
        <v>974</v>
      </c>
      <c r="H571" s="5" t="s">
        <v>2149</v>
      </c>
      <c r="I571" s="4" t="s">
        <v>4</v>
      </c>
    </row>
    <row r="572" spans="2:9" ht="17.100000000000001" customHeight="1" x14ac:dyDescent="0.3">
      <c r="B572" s="19"/>
      <c r="C572" s="17"/>
      <c r="D572" s="4">
        <v>568</v>
      </c>
      <c r="E572" s="4">
        <v>12272</v>
      </c>
      <c r="F572" s="4" t="str">
        <f t="shared" si="34"/>
        <v>2FF0</v>
      </c>
      <c r="G572" s="5" t="s">
        <v>975</v>
      </c>
      <c r="H572" s="5" t="s">
        <v>2150</v>
      </c>
      <c r="I572" s="4" t="s">
        <v>4</v>
      </c>
    </row>
    <row r="573" spans="2:9" ht="17.100000000000001" customHeight="1" x14ac:dyDescent="0.3">
      <c r="B573" s="19"/>
      <c r="C573" s="17"/>
      <c r="D573" s="4">
        <v>569</v>
      </c>
      <c r="E573" s="4">
        <v>12276</v>
      </c>
      <c r="F573" s="4" t="str">
        <f t="shared" si="34"/>
        <v>2FF4</v>
      </c>
      <c r="G573" s="5" t="s">
        <v>976</v>
      </c>
      <c r="H573" s="5" t="s">
        <v>2151</v>
      </c>
      <c r="I573" s="4" t="s">
        <v>4</v>
      </c>
    </row>
    <row r="574" spans="2:9" ht="17.100000000000001" customHeight="1" x14ac:dyDescent="0.3">
      <c r="B574" s="19"/>
      <c r="C574" s="17"/>
      <c r="D574" s="4">
        <v>570</v>
      </c>
      <c r="E574" s="4">
        <v>12280</v>
      </c>
      <c r="F574" s="4" t="str">
        <f t="shared" si="34"/>
        <v>2FF8</v>
      </c>
      <c r="G574" s="5" t="s">
        <v>977</v>
      </c>
      <c r="H574" s="5" t="s">
        <v>2152</v>
      </c>
      <c r="I574" s="4" t="s">
        <v>4</v>
      </c>
    </row>
    <row r="575" spans="2:9" ht="17.100000000000001" customHeight="1" x14ac:dyDescent="0.3">
      <c r="B575" s="19"/>
      <c r="C575" s="17"/>
      <c r="D575" s="4">
        <v>571</v>
      </c>
      <c r="E575" s="4">
        <v>12284</v>
      </c>
      <c r="F575" s="4" t="str">
        <f t="shared" si="34"/>
        <v>2FFC</v>
      </c>
      <c r="G575" s="5" t="s">
        <v>978</v>
      </c>
      <c r="H575" s="5" t="s">
        <v>2153</v>
      </c>
      <c r="I575" s="4" t="s">
        <v>4</v>
      </c>
    </row>
    <row r="576" spans="2:9" ht="17.100000000000001" customHeight="1" x14ac:dyDescent="0.3">
      <c r="B576" s="19"/>
      <c r="C576" s="17"/>
      <c r="D576" s="4">
        <v>572</v>
      </c>
      <c r="E576" s="4">
        <v>12288</v>
      </c>
      <c r="F576" s="4" t="str">
        <f t="shared" si="34"/>
        <v>3000</v>
      </c>
      <c r="G576" s="5" t="s">
        <v>979</v>
      </c>
      <c r="H576" s="5" t="s">
        <v>2154</v>
      </c>
      <c r="I576" s="4" t="s">
        <v>4</v>
      </c>
    </row>
    <row r="577" spans="2:9" ht="17.100000000000001" customHeight="1" x14ac:dyDescent="0.3">
      <c r="B577" s="19"/>
      <c r="C577" s="17"/>
      <c r="D577" s="4">
        <v>573</v>
      </c>
      <c r="E577" s="4">
        <v>12292</v>
      </c>
      <c r="F577" s="4" t="str">
        <f t="shared" si="34"/>
        <v>3004</v>
      </c>
      <c r="G577" s="5" t="s">
        <v>980</v>
      </c>
      <c r="H577" s="5" t="s">
        <v>2155</v>
      </c>
      <c r="I577" s="4" t="s">
        <v>4</v>
      </c>
    </row>
    <row r="578" spans="2:9" ht="17.100000000000001" customHeight="1" x14ac:dyDescent="0.3">
      <c r="B578" s="19"/>
      <c r="C578" s="17"/>
      <c r="D578" s="4">
        <v>574</v>
      </c>
      <c r="E578" s="4">
        <v>12296</v>
      </c>
      <c r="F578" s="4" t="str">
        <f t="shared" si="34"/>
        <v>3008</v>
      </c>
      <c r="G578" s="5" t="s">
        <v>981</v>
      </c>
      <c r="H578" s="5" t="s">
        <v>2156</v>
      </c>
      <c r="I578" s="4" t="s">
        <v>4</v>
      </c>
    </row>
    <row r="579" spans="2:9" ht="17.100000000000001" customHeight="1" x14ac:dyDescent="0.3">
      <c r="B579" s="19"/>
      <c r="C579" s="17"/>
      <c r="D579" s="4">
        <v>575</v>
      </c>
      <c r="E579" s="4">
        <v>12300</v>
      </c>
      <c r="F579" s="4" t="str">
        <f t="shared" si="34"/>
        <v>300C</v>
      </c>
      <c r="G579" s="6" t="str">
        <f t="shared" ref="G579:G583" si="38">"pUmem_Sta_TBD_"&amp;F579</f>
        <v>pUmem_Sta_TBD_300C</v>
      </c>
      <c r="H579" s="6"/>
      <c r="I579" s="7"/>
    </row>
    <row r="580" spans="2:9" ht="17.100000000000001" customHeight="1" x14ac:dyDescent="0.3">
      <c r="B580" s="19"/>
      <c r="C580" s="17"/>
      <c r="D580" s="4">
        <v>576</v>
      </c>
      <c r="E580" s="4">
        <v>12304</v>
      </c>
      <c r="F580" s="4" t="str">
        <f t="shared" si="34"/>
        <v>3010</v>
      </c>
      <c r="G580" s="6" t="str">
        <f t="shared" si="38"/>
        <v>pUmem_Sta_TBD_3010</v>
      </c>
      <c r="H580" s="6"/>
      <c r="I580" s="7"/>
    </row>
    <row r="581" spans="2:9" ht="17.100000000000001" customHeight="1" x14ac:dyDescent="0.3">
      <c r="B581" s="19"/>
      <c r="C581" s="17"/>
      <c r="D581" s="4">
        <v>577</v>
      </c>
      <c r="E581" s="4">
        <v>12308</v>
      </c>
      <c r="F581" s="4" t="str">
        <f t="shared" si="34"/>
        <v>3014</v>
      </c>
      <c r="G581" s="6" t="str">
        <f t="shared" si="38"/>
        <v>pUmem_Sta_TBD_3014</v>
      </c>
      <c r="H581" s="6"/>
      <c r="I581" s="7"/>
    </row>
    <row r="582" spans="2:9" ht="17.100000000000001" customHeight="1" x14ac:dyDescent="0.3">
      <c r="B582" s="19"/>
      <c r="C582" s="17"/>
      <c r="D582" s="4">
        <v>578</v>
      </c>
      <c r="E582" s="4">
        <v>12312</v>
      </c>
      <c r="F582" s="4" t="str">
        <f t="shared" si="34"/>
        <v>3018</v>
      </c>
      <c r="G582" s="6" t="str">
        <f t="shared" si="38"/>
        <v>pUmem_Sta_TBD_3018</v>
      </c>
      <c r="H582" s="6"/>
      <c r="I582" s="7"/>
    </row>
    <row r="583" spans="2:9" ht="17.100000000000001" customHeight="1" x14ac:dyDescent="0.3">
      <c r="B583" s="19"/>
      <c r="C583" s="17"/>
      <c r="D583" s="4">
        <v>579</v>
      </c>
      <c r="E583" s="4">
        <v>12316</v>
      </c>
      <c r="F583" s="4" t="str">
        <f t="shared" ref="F583:F643" si="39">DEC2HEX(E583)</f>
        <v>301C</v>
      </c>
      <c r="G583" s="6" t="str">
        <f t="shared" si="38"/>
        <v>pUmem_Sta_TBD_301C</v>
      </c>
      <c r="H583" s="6"/>
      <c r="I583" s="7"/>
    </row>
    <row r="584" spans="2:9" ht="17.100000000000001" customHeight="1" x14ac:dyDescent="0.3">
      <c r="B584" s="19"/>
      <c r="C584" s="17" t="s">
        <v>304</v>
      </c>
      <c r="D584" s="4">
        <v>580</v>
      </c>
      <c r="E584" s="4">
        <v>12320</v>
      </c>
      <c r="F584" s="4" t="str">
        <f t="shared" si="39"/>
        <v>3020</v>
      </c>
      <c r="G584" s="5" t="s">
        <v>982</v>
      </c>
      <c r="H584" s="5" t="s">
        <v>2143</v>
      </c>
      <c r="I584" s="4" t="s">
        <v>14</v>
      </c>
    </row>
    <row r="585" spans="2:9" ht="17.100000000000001" customHeight="1" x14ac:dyDescent="0.3">
      <c r="B585" s="19"/>
      <c r="C585" s="17"/>
      <c r="D585" s="4">
        <v>581</v>
      </c>
      <c r="E585" s="4">
        <v>12324</v>
      </c>
      <c r="F585" s="4" t="str">
        <f t="shared" si="39"/>
        <v>3024</v>
      </c>
      <c r="G585" s="5" t="s">
        <v>983</v>
      </c>
      <c r="H585" s="5" t="s">
        <v>2144</v>
      </c>
      <c r="I585" s="4" t="s">
        <v>14</v>
      </c>
    </row>
    <row r="586" spans="2:9" ht="17.100000000000001" customHeight="1" x14ac:dyDescent="0.3">
      <c r="B586" s="19"/>
      <c r="C586" s="17"/>
      <c r="D586" s="4">
        <v>582</v>
      </c>
      <c r="E586" s="4">
        <v>12328</v>
      </c>
      <c r="F586" s="4" t="str">
        <f t="shared" si="39"/>
        <v>3028</v>
      </c>
      <c r="G586" s="5" t="s">
        <v>984</v>
      </c>
      <c r="H586" s="5" t="s">
        <v>2145</v>
      </c>
      <c r="I586" s="4" t="s">
        <v>15</v>
      </c>
    </row>
    <row r="587" spans="2:9" ht="17.100000000000001" customHeight="1" x14ac:dyDescent="0.3">
      <c r="B587" s="19"/>
      <c r="C587" s="17"/>
      <c r="D587" s="4">
        <v>583</v>
      </c>
      <c r="E587" s="4">
        <v>12332</v>
      </c>
      <c r="F587" s="4" t="str">
        <f t="shared" si="39"/>
        <v>302C</v>
      </c>
      <c r="G587" s="5" t="s">
        <v>985</v>
      </c>
      <c r="H587" s="5" t="s">
        <v>2146</v>
      </c>
      <c r="I587" s="12">
        <v>1E-3</v>
      </c>
    </row>
    <row r="588" spans="2:9" ht="17.100000000000001" customHeight="1" x14ac:dyDescent="0.3">
      <c r="B588" s="19"/>
      <c r="C588" s="17"/>
      <c r="D588" s="4">
        <v>584</v>
      </c>
      <c r="E588" s="4">
        <v>12336</v>
      </c>
      <c r="F588" s="4" t="str">
        <f t="shared" si="39"/>
        <v>3030</v>
      </c>
      <c r="G588" s="5" t="s">
        <v>986</v>
      </c>
      <c r="H588" s="5" t="s">
        <v>2147</v>
      </c>
      <c r="I588" s="4" t="s">
        <v>5</v>
      </c>
    </row>
    <row r="589" spans="2:9" ht="17.100000000000001" customHeight="1" x14ac:dyDescent="0.3">
      <c r="B589" s="19"/>
      <c r="C589" s="17"/>
      <c r="D589" s="4">
        <v>585</v>
      </c>
      <c r="E589" s="4">
        <v>12340</v>
      </c>
      <c r="F589" s="4" t="str">
        <f t="shared" si="39"/>
        <v>3034</v>
      </c>
      <c r="G589" s="5" t="s">
        <v>987</v>
      </c>
      <c r="H589" s="5" t="s">
        <v>180</v>
      </c>
      <c r="I589" s="4" t="s">
        <v>5</v>
      </c>
    </row>
    <row r="590" spans="2:9" ht="17.100000000000001" customHeight="1" x14ac:dyDescent="0.3">
      <c r="B590" s="19"/>
      <c r="C590" s="17"/>
      <c r="D590" s="4">
        <v>586</v>
      </c>
      <c r="E590" s="4">
        <v>12344</v>
      </c>
      <c r="F590" s="4" t="str">
        <f t="shared" si="39"/>
        <v>3038</v>
      </c>
      <c r="G590" s="5" t="s">
        <v>988</v>
      </c>
      <c r="H590" s="5" t="s">
        <v>2148</v>
      </c>
      <c r="I590" s="4" t="s">
        <v>4</v>
      </c>
    </row>
    <row r="591" spans="2:9" ht="17.100000000000001" customHeight="1" x14ac:dyDescent="0.3">
      <c r="B591" s="19"/>
      <c r="C591" s="17"/>
      <c r="D591" s="4">
        <v>587</v>
      </c>
      <c r="E591" s="4">
        <v>12348</v>
      </c>
      <c r="F591" s="4" t="str">
        <f t="shared" si="39"/>
        <v>303C</v>
      </c>
      <c r="G591" s="5" t="s">
        <v>989</v>
      </c>
      <c r="H591" s="5" t="s">
        <v>2149</v>
      </c>
      <c r="I591" s="4" t="s">
        <v>4</v>
      </c>
    </row>
    <row r="592" spans="2:9" ht="17.100000000000001" customHeight="1" x14ac:dyDescent="0.3">
      <c r="B592" s="19"/>
      <c r="C592" s="17"/>
      <c r="D592" s="4">
        <v>588</v>
      </c>
      <c r="E592" s="4">
        <v>12352</v>
      </c>
      <c r="F592" s="4" t="str">
        <f t="shared" si="39"/>
        <v>3040</v>
      </c>
      <c r="G592" s="5" t="s">
        <v>990</v>
      </c>
      <c r="H592" s="5" t="s">
        <v>2150</v>
      </c>
      <c r="I592" s="4" t="s">
        <v>4</v>
      </c>
    </row>
    <row r="593" spans="2:9" ht="17.100000000000001" customHeight="1" x14ac:dyDescent="0.3">
      <c r="B593" s="19"/>
      <c r="C593" s="17"/>
      <c r="D593" s="4">
        <v>589</v>
      </c>
      <c r="E593" s="4">
        <v>12356</v>
      </c>
      <c r="F593" s="4" t="str">
        <f t="shared" si="39"/>
        <v>3044</v>
      </c>
      <c r="G593" s="5" t="s">
        <v>991</v>
      </c>
      <c r="H593" s="5" t="s">
        <v>2151</v>
      </c>
      <c r="I593" s="4" t="s">
        <v>4</v>
      </c>
    </row>
    <row r="594" spans="2:9" ht="17.100000000000001" customHeight="1" x14ac:dyDescent="0.3">
      <c r="B594" s="19"/>
      <c r="C594" s="17"/>
      <c r="D594" s="4">
        <v>590</v>
      </c>
      <c r="E594" s="4">
        <v>12360</v>
      </c>
      <c r="F594" s="4" t="str">
        <f t="shared" si="39"/>
        <v>3048</v>
      </c>
      <c r="G594" s="5" t="s">
        <v>992</v>
      </c>
      <c r="H594" s="5" t="s">
        <v>2152</v>
      </c>
      <c r="I594" s="4" t="s">
        <v>4</v>
      </c>
    </row>
    <row r="595" spans="2:9" ht="17.100000000000001" customHeight="1" x14ac:dyDescent="0.3">
      <c r="B595" s="19"/>
      <c r="C595" s="17"/>
      <c r="D595" s="4">
        <v>591</v>
      </c>
      <c r="E595" s="4">
        <v>12364</v>
      </c>
      <c r="F595" s="4" t="str">
        <f t="shared" si="39"/>
        <v>304C</v>
      </c>
      <c r="G595" s="5" t="s">
        <v>993</v>
      </c>
      <c r="H595" s="5" t="s">
        <v>2153</v>
      </c>
      <c r="I595" s="4" t="s">
        <v>4</v>
      </c>
    </row>
    <row r="596" spans="2:9" ht="17.100000000000001" customHeight="1" x14ac:dyDescent="0.3">
      <c r="B596" s="19"/>
      <c r="C596" s="17"/>
      <c r="D596" s="4">
        <v>592</v>
      </c>
      <c r="E596" s="4">
        <v>12368</v>
      </c>
      <c r="F596" s="4" t="str">
        <f t="shared" si="39"/>
        <v>3050</v>
      </c>
      <c r="G596" s="5" t="s">
        <v>994</v>
      </c>
      <c r="H596" s="5" t="s">
        <v>2154</v>
      </c>
      <c r="I596" s="4" t="s">
        <v>4</v>
      </c>
    </row>
    <row r="597" spans="2:9" ht="17.100000000000001" customHeight="1" x14ac:dyDescent="0.3">
      <c r="B597" s="19"/>
      <c r="C597" s="17"/>
      <c r="D597" s="4">
        <v>593</v>
      </c>
      <c r="E597" s="4">
        <v>12372</v>
      </c>
      <c r="F597" s="4" t="str">
        <f t="shared" si="39"/>
        <v>3054</v>
      </c>
      <c r="G597" s="5" t="s">
        <v>995</v>
      </c>
      <c r="H597" s="5" t="s">
        <v>2155</v>
      </c>
      <c r="I597" s="4" t="s">
        <v>4</v>
      </c>
    </row>
    <row r="598" spans="2:9" ht="17.100000000000001" customHeight="1" x14ac:dyDescent="0.3">
      <c r="B598" s="19"/>
      <c r="C598" s="17"/>
      <c r="D598" s="4">
        <v>594</v>
      </c>
      <c r="E598" s="4">
        <v>12376</v>
      </c>
      <c r="F598" s="4" t="str">
        <f t="shared" si="39"/>
        <v>3058</v>
      </c>
      <c r="G598" s="5" t="s">
        <v>996</v>
      </c>
      <c r="H598" s="5" t="s">
        <v>2156</v>
      </c>
      <c r="I598" s="4" t="s">
        <v>4</v>
      </c>
    </row>
    <row r="599" spans="2:9" ht="17.100000000000001" customHeight="1" x14ac:dyDescent="0.3">
      <c r="B599" s="19"/>
      <c r="C599" s="17"/>
      <c r="D599" s="4">
        <v>595</v>
      </c>
      <c r="E599" s="4">
        <v>12380</v>
      </c>
      <c r="F599" s="4" t="str">
        <f t="shared" si="39"/>
        <v>305C</v>
      </c>
      <c r="G599" s="6" t="str">
        <f t="shared" ref="G599:G603" si="40">"pUmem_Sta_TBD_"&amp;F599</f>
        <v>pUmem_Sta_TBD_305C</v>
      </c>
      <c r="H599" s="6"/>
      <c r="I599" s="7"/>
    </row>
    <row r="600" spans="2:9" ht="17.100000000000001" customHeight="1" x14ac:dyDescent="0.3">
      <c r="B600" s="19"/>
      <c r="C600" s="17"/>
      <c r="D600" s="4">
        <v>596</v>
      </c>
      <c r="E600" s="4">
        <v>12384</v>
      </c>
      <c r="F600" s="4" t="str">
        <f t="shared" si="39"/>
        <v>3060</v>
      </c>
      <c r="G600" s="6" t="str">
        <f t="shared" si="40"/>
        <v>pUmem_Sta_TBD_3060</v>
      </c>
      <c r="H600" s="6"/>
      <c r="I600" s="7"/>
    </row>
    <row r="601" spans="2:9" ht="17.100000000000001" customHeight="1" x14ac:dyDescent="0.3">
      <c r="B601" s="19"/>
      <c r="C601" s="17"/>
      <c r="D601" s="4">
        <v>597</v>
      </c>
      <c r="E601" s="4">
        <v>12388</v>
      </c>
      <c r="F601" s="4" t="str">
        <f t="shared" si="39"/>
        <v>3064</v>
      </c>
      <c r="G601" s="6" t="str">
        <f t="shared" si="40"/>
        <v>pUmem_Sta_TBD_3064</v>
      </c>
      <c r="H601" s="6"/>
      <c r="I601" s="7"/>
    </row>
    <row r="602" spans="2:9" ht="17.100000000000001" customHeight="1" x14ac:dyDescent="0.3">
      <c r="B602" s="19"/>
      <c r="C602" s="17"/>
      <c r="D602" s="4">
        <v>598</v>
      </c>
      <c r="E602" s="4">
        <v>12392</v>
      </c>
      <c r="F602" s="4" t="str">
        <f t="shared" si="39"/>
        <v>3068</v>
      </c>
      <c r="G602" s="6" t="str">
        <f t="shared" si="40"/>
        <v>pUmem_Sta_TBD_3068</v>
      </c>
      <c r="H602" s="6"/>
      <c r="I602" s="7"/>
    </row>
    <row r="603" spans="2:9" ht="17.100000000000001" customHeight="1" x14ac:dyDescent="0.3">
      <c r="B603" s="19"/>
      <c r="C603" s="17"/>
      <c r="D603" s="4">
        <v>599</v>
      </c>
      <c r="E603" s="4">
        <v>12396</v>
      </c>
      <c r="F603" s="4" t="str">
        <f t="shared" si="39"/>
        <v>306C</v>
      </c>
      <c r="G603" s="6" t="str">
        <f t="shared" si="40"/>
        <v>pUmem_Sta_TBD_306C</v>
      </c>
      <c r="H603" s="6"/>
      <c r="I603" s="7"/>
    </row>
    <row r="604" spans="2:9" ht="17.100000000000001" customHeight="1" x14ac:dyDescent="0.3">
      <c r="B604" s="19"/>
      <c r="C604" s="17" t="s">
        <v>305</v>
      </c>
      <c r="D604" s="4">
        <v>600</v>
      </c>
      <c r="E604" s="4">
        <v>12400</v>
      </c>
      <c r="F604" s="4" t="str">
        <f t="shared" si="39"/>
        <v>3070</v>
      </c>
      <c r="G604" s="5" t="s">
        <v>997</v>
      </c>
      <c r="H604" s="5" t="s">
        <v>2143</v>
      </c>
      <c r="I604" s="4" t="s">
        <v>14</v>
      </c>
    </row>
    <row r="605" spans="2:9" ht="17.100000000000001" customHeight="1" x14ac:dyDescent="0.3">
      <c r="B605" s="19"/>
      <c r="C605" s="17"/>
      <c r="D605" s="4">
        <v>601</v>
      </c>
      <c r="E605" s="4">
        <v>12404</v>
      </c>
      <c r="F605" s="4" t="str">
        <f t="shared" si="39"/>
        <v>3074</v>
      </c>
      <c r="G605" s="5" t="s">
        <v>998</v>
      </c>
      <c r="H605" s="5" t="s">
        <v>2144</v>
      </c>
      <c r="I605" s="4" t="s">
        <v>14</v>
      </c>
    </row>
    <row r="606" spans="2:9" ht="17.100000000000001" customHeight="1" x14ac:dyDescent="0.3">
      <c r="B606" s="19"/>
      <c r="C606" s="17"/>
      <c r="D606" s="4">
        <v>602</v>
      </c>
      <c r="E606" s="4">
        <v>12408</v>
      </c>
      <c r="F606" s="4" t="str">
        <f t="shared" si="39"/>
        <v>3078</v>
      </c>
      <c r="G606" s="5" t="s">
        <v>999</v>
      </c>
      <c r="H606" s="5" t="s">
        <v>2145</v>
      </c>
      <c r="I606" s="4" t="s">
        <v>15</v>
      </c>
    </row>
    <row r="607" spans="2:9" ht="17.100000000000001" customHeight="1" x14ac:dyDescent="0.3">
      <c r="B607" s="19"/>
      <c r="C607" s="17"/>
      <c r="D607" s="4">
        <v>603</v>
      </c>
      <c r="E607" s="4">
        <v>12412</v>
      </c>
      <c r="F607" s="4" t="str">
        <f t="shared" si="39"/>
        <v>307C</v>
      </c>
      <c r="G607" s="5" t="s">
        <v>1000</v>
      </c>
      <c r="H607" s="5" t="s">
        <v>2146</v>
      </c>
      <c r="I607" s="12">
        <v>1E-3</v>
      </c>
    </row>
    <row r="608" spans="2:9" ht="17.100000000000001" customHeight="1" x14ac:dyDescent="0.3">
      <c r="B608" s="19"/>
      <c r="C608" s="17"/>
      <c r="D608" s="4">
        <v>604</v>
      </c>
      <c r="E608" s="4">
        <v>12416</v>
      </c>
      <c r="F608" s="4" t="str">
        <f t="shared" si="39"/>
        <v>3080</v>
      </c>
      <c r="G608" s="5" t="s">
        <v>1001</v>
      </c>
      <c r="H608" s="5" t="s">
        <v>2147</v>
      </c>
      <c r="I608" s="4" t="s">
        <v>5</v>
      </c>
    </row>
    <row r="609" spans="2:9" ht="17.100000000000001" customHeight="1" x14ac:dyDescent="0.3">
      <c r="B609" s="19"/>
      <c r="C609" s="17"/>
      <c r="D609" s="4">
        <v>605</v>
      </c>
      <c r="E609" s="4">
        <v>12420</v>
      </c>
      <c r="F609" s="4" t="str">
        <f t="shared" si="39"/>
        <v>3084</v>
      </c>
      <c r="G609" s="5" t="s">
        <v>1002</v>
      </c>
      <c r="H609" s="5" t="s">
        <v>180</v>
      </c>
      <c r="I609" s="4" t="s">
        <v>5</v>
      </c>
    </row>
    <row r="610" spans="2:9" ht="17.100000000000001" customHeight="1" x14ac:dyDescent="0.3">
      <c r="B610" s="19"/>
      <c r="C610" s="17"/>
      <c r="D610" s="4">
        <v>606</v>
      </c>
      <c r="E610" s="4">
        <v>12424</v>
      </c>
      <c r="F610" s="4" t="str">
        <f t="shared" si="39"/>
        <v>3088</v>
      </c>
      <c r="G610" s="5" t="s">
        <v>1003</v>
      </c>
      <c r="H610" s="5" t="s">
        <v>2148</v>
      </c>
      <c r="I610" s="4" t="s">
        <v>4</v>
      </c>
    </row>
    <row r="611" spans="2:9" ht="17.100000000000001" customHeight="1" x14ac:dyDescent="0.3">
      <c r="B611" s="19"/>
      <c r="C611" s="17"/>
      <c r="D611" s="4">
        <v>607</v>
      </c>
      <c r="E611" s="4">
        <v>12428</v>
      </c>
      <c r="F611" s="4" t="str">
        <f t="shared" si="39"/>
        <v>308C</v>
      </c>
      <c r="G611" s="5" t="s">
        <v>1004</v>
      </c>
      <c r="H611" s="5" t="s">
        <v>2149</v>
      </c>
      <c r="I611" s="4" t="s">
        <v>4</v>
      </c>
    </row>
    <row r="612" spans="2:9" ht="17.100000000000001" customHeight="1" x14ac:dyDescent="0.3">
      <c r="B612" s="19"/>
      <c r="C612" s="17"/>
      <c r="D612" s="4">
        <v>608</v>
      </c>
      <c r="E612" s="4">
        <v>12432</v>
      </c>
      <c r="F612" s="4" t="str">
        <f t="shared" si="39"/>
        <v>3090</v>
      </c>
      <c r="G612" s="5" t="s">
        <v>1005</v>
      </c>
      <c r="H612" s="5" t="s">
        <v>2150</v>
      </c>
      <c r="I612" s="4" t="s">
        <v>4</v>
      </c>
    </row>
    <row r="613" spans="2:9" ht="17.100000000000001" customHeight="1" x14ac:dyDescent="0.3">
      <c r="B613" s="19"/>
      <c r="C613" s="17"/>
      <c r="D613" s="4">
        <v>609</v>
      </c>
      <c r="E613" s="4">
        <v>12436</v>
      </c>
      <c r="F613" s="4" t="str">
        <f t="shared" si="39"/>
        <v>3094</v>
      </c>
      <c r="G613" s="5" t="s">
        <v>1006</v>
      </c>
      <c r="H613" s="5" t="s">
        <v>2151</v>
      </c>
      <c r="I613" s="4" t="s">
        <v>4</v>
      </c>
    </row>
    <row r="614" spans="2:9" ht="17.100000000000001" customHeight="1" x14ac:dyDescent="0.3">
      <c r="B614" s="19"/>
      <c r="C614" s="17"/>
      <c r="D614" s="4">
        <v>610</v>
      </c>
      <c r="E614" s="4">
        <v>12440</v>
      </c>
      <c r="F614" s="4" t="str">
        <f t="shared" si="39"/>
        <v>3098</v>
      </c>
      <c r="G614" s="5" t="s">
        <v>1007</v>
      </c>
      <c r="H614" s="5" t="s">
        <v>2152</v>
      </c>
      <c r="I614" s="4" t="s">
        <v>4</v>
      </c>
    </row>
    <row r="615" spans="2:9" ht="17.100000000000001" customHeight="1" x14ac:dyDescent="0.3">
      <c r="B615" s="19"/>
      <c r="C615" s="17"/>
      <c r="D615" s="4">
        <v>611</v>
      </c>
      <c r="E615" s="4">
        <v>12444</v>
      </c>
      <c r="F615" s="4" t="str">
        <f t="shared" si="39"/>
        <v>309C</v>
      </c>
      <c r="G615" s="5" t="s">
        <v>1008</v>
      </c>
      <c r="H615" s="5" t="s">
        <v>2153</v>
      </c>
      <c r="I615" s="4" t="s">
        <v>4</v>
      </c>
    </row>
    <row r="616" spans="2:9" ht="17.100000000000001" customHeight="1" x14ac:dyDescent="0.3">
      <c r="B616" s="19"/>
      <c r="C616" s="17"/>
      <c r="D616" s="4">
        <v>612</v>
      </c>
      <c r="E616" s="4">
        <v>12448</v>
      </c>
      <c r="F616" s="4" t="str">
        <f t="shared" si="39"/>
        <v>30A0</v>
      </c>
      <c r="G616" s="5" t="s">
        <v>1009</v>
      </c>
      <c r="H616" s="5" t="s">
        <v>2154</v>
      </c>
      <c r="I616" s="4" t="s">
        <v>4</v>
      </c>
    </row>
    <row r="617" spans="2:9" ht="17.100000000000001" customHeight="1" x14ac:dyDescent="0.3">
      <c r="B617" s="19"/>
      <c r="C617" s="17"/>
      <c r="D617" s="4">
        <v>613</v>
      </c>
      <c r="E617" s="4">
        <v>12452</v>
      </c>
      <c r="F617" s="4" t="str">
        <f t="shared" si="39"/>
        <v>30A4</v>
      </c>
      <c r="G617" s="5" t="s">
        <v>1010</v>
      </c>
      <c r="H617" s="5" t="s">
        <v>2155</v>
      </c>
      <c r="I617" s="4" t="s">
        <v>4</v>
      </c>
    </row>
    <row r="618" spans="2:9" ht="17.100000000000001" customHeight="1" x14ac:dyDescent="0.3">
      <c r="B618" s="19"/>
      <c r="C618" s="17"/>
      <c r="D618" s="4">
        <v>614</v>
      </c>
      <c r="E618" s="4">
        <v>12456</v>
      </c>
      <c r="F618" s="4" t="str">
        <f t="shared" si="39"/>
        <v>30A8</v>
      </c>
      <c r="G618" s="5" t="s">
        <v>1011</v>
      </c>
      <c r="H618" s="5" t="s">
        <v>2156</v>
      </c>
      <c r="I618" s="4" t="s">
        <v>4</v>
      </c>
    </row>
    <row r="619" spans="2:9" ht="17.100000000000001" customHeight="1" x14ac:dyDescent="0.3">
      <c r="B619" s="19"/>
      <c r="C619" s="17"/>
      <c r="D619" s="4">
        <v>615</v>
      </c>
      <c r="E619" s="4">
        <v>12460</v>
      </c>
      <c r="F619" s="4" t="str">
        <f t="shared" si="39"/>
        <v>30AC</v>
      </c>
      <c r="G619" s="6" t="str">
        <f t="shared" ref="G619:G623" si="41">"pUmem_Sta_TBD_"&amp;F619</f>
        <v>pUmem_Sta_TBD_30AC</v>
      </c>
      <c r="H619" s="6"/>
      <c r="I619" s="7"/>
    </row>
    <row r="620" spans="2:9" ht="17.100000000000001" customHeight="1" x14ac:dyDescent="0.3">
      <c r="B620" s="19"/>
      <c r="C620" s="17"/>
      <c r="D620" s="4">
        <v>616</v>
      </c>
      <c r="E620" s="4">
        <v>12464</v>
      </c>
      <c r="F620" s="4" t="str">
        <f t="shared" si="39"/>
        <v>30B0</v>
      </c>
      <c r="G620" s="6" t="str">
        <f t="shared" si="41"/>
        <v>pUmem_Sta_TBD_30B0</v>
      </c>
      <c r="H620" s="6"/>
      <c r="I620" s="7"/>
    </row>
    <row r="621" spans="2:9" ht="17.100000000000001" customHeight="1" x14ac:dyDescent="0.3">
      <c r="B621" s="19"/>
      <c r="C621" s="17"/>
      <c r="D621" s="4">
        <v>617</v>
      </c>
      <c r="E621" s="4">
        <v>12468</v>
      </c>
      <c r="F621" s="4" t="str">
        <f t="shared" si="39"/>
        <v>30B4</v>
      </c>
      <c r="G621" s="6" t="str">
        <f t="shared" si="41"/>
        <v>pUmem_Sta_TBD_30B4</v>
      </c>
      <c r="H621" s="6"/>
      <c r="I621" s="7"/>
    </row>
    <row r="622" spans="2:9" ht="17.100000000000001" customHeight="1" x14ac:dyDescent="0.3">
      <c r="B622" s="19"/>
      <c r="C622" s="17"/>
      <c r="D622" s="4">
        <v>618</v>
      </c>
      <c r="E622" s="4">
        <v>12472</v>
      </c>
      <c r="F622" s="4" t="str">
        <f t="shared" si="39"/>
        <v>30B8</v>
      </c>
      <c r="G622" s="6" t="str">
        <f t="shared" si="41"/>
        <v>pUmem_Sta_TBD_30B8</v>
      </c>
      <c r="H622" s="6"/>
      <c r="I622" s="7"/>
    </row>
    <row r="623" spans="2:9" ht="17.100000000000001" customHeight="1" x14ac:dyDescent="0.3">
      <c r="B623" s="19"/>
      <c r="C623" s="17"/>
      <c r="D623" s="4">
        <v>619</v>
      </c>
      <c r="E623" s="4">
        <v>12476</v>
      </c>
      <c r="F623" s="4" t="str">
        <f t="shared" si="39"/>
        <v>30BC</v>
      </c>
      <c r="G623" s="6" t="str">
        <f t="shared" si="41"/>
        <v>pUmem_Sta_TBD_30BC</v>
      </c>
      <c r="H623" s="6"/>
      <c r="I623" s="7"/>
    </row>
    <row r="624" spans="2:9" ht="17.100000000000001" customHeight="1" x14ac:dyDescent="0.3">
      <c r="B624" s="19"/>
      <c r="C624" s="17" t="s">
        <v>306</v>
      </c>
      <c r="D624" s="4">
        <v>620</v>
      </c>
      <c r="E624" s="4">
        <v>12480</v>
      </c>
      <c r="F624" s="4" t="str">
        <f t="shared" si="39"/>
        <v>30C0</v>
      </c>
      <c r="G624" s="5" t="s">
        <v>1012</v>
      </c>
      <c r="H624" s="5" t="s">
        <v>2143</v>
      </c>
      <c r="I624" s="4" t="s">
        <v>14</v>
      </c>
    </row>
    <row r="625" spans="2:9" ht="17.100000000000001" customHeight="1" x14ac:dyDescent="0.3">
      <c r="B625" s="19"/>
      <c r="C625" s="17"/>
      <c r="D625" s="4">
        <v>621</v>
      </c>
      <c r="E625" s="4">
        <v>12484</v>
      </c>
      <c r="F625" s="4" t="str">
        <f t="shared" si="39"/>
        <v>30C4</v>
      </c>
      <c r="G625" s="5" t="s">
        <v>1013</v>
      </c>
      <c r="H625" s="5" t="s">
        <v>2144</v>
      </c>
      <c r="I625" s="4" t="s">
        <v>14</v>
      </c>
    </row>
    <row r="626" spans="2:9" ht="17.100000000000001" customHeight="1" x14ac:dyDescent="0.3">
      <c r="B626" s="19"/>
      <c r="C626" s="17"/>
      <c r="D626" s="4">
        <v>622</v>
      </c>
      <c r="E626" s="4">
        <v>12488</v>
      </c>
      <c r="F626" s="4" t="str">
        <f t="shared" si="39"/>
        <v>30C8</v>
      </c>
      <c r="G626" s="5" t="s">
        <v>1014</v>
      </c>
      <c r="H626" s="5" t="s">
        <v>2145</v>
      </c>
      <c r="I626" s="4" t="s">
        <v>15</v>
      </c>
    </row>
    <row r="627" spans="2:9" ht="17.100000000000001" customHeight="1" x14ac:dyDescent="0.3">
      <c r="B627" s="19"/>
      <c r="C627" s="17"/>
      <c r="D627" s="4">
        <v>623</v>
      </c>
      <c r="E627" s="4">
        <v>12492</v>
      </c>
      <c r="F627" s="4" t="str">
        <f t="shared" si="39"/>
        <v>30CC</v>
      </c>
      <c r="G627" s="5" t="s">
        <v>1015</v>
      </c>
      <c r="H627" s="5" t="s">
        <v>2146</v>
      </c>
      <c r="I627" s="12">
        <v>1E-3</v>
      </c>
    </row>
    <row r="628" spans="2:9" ht="17.100000000000001" customHeight="1" x14ac:dyDescent="0.3">
      <c r="B628" s="19"/>
      <c r="C628" s="17"/>
      <c r="D628" s="4">
        <v>624</v>
      </c>
      <c r="E628" s="4">
        <v>12496</v>
      </c>
      <c r="F628" s="4" t="str">
        <f t="shared" si="39"/>
        <v>30D0</v>
      </c>
      <c r="G628" s="5" t="s">
        <v>1016</v>
      </c>
      <c r="H628" s="5" t="s">
        <v>2147</v>
      </c>
      <c r="I628" s="4" t="s">
        <v>5</v>
      </c>
    </row>
    <row r="629" spans="2:9" ht="17.100000000000001" customHeight="1" x14ac:dyDescent="0.3">
      <c r="B629" s="19"/>
      <c r="C629" s="17"/>
      <c r="D629" s="4">
        <v>625</v>
      </c>
      <c r="E629" s="4">
        <v>12500</v>
      </c>
      <c r="F629" s="4" t="str">
        <f t="shared" si="39"/>
        <v>30D4</v>
      </c>
      <c r="G629" s="5" t="s">
        <v>1017</v>
      </c>
      <c r="H629" s="5" t="s">
        <v>180</v>
      </c>
      <c r="I629" s="4" t="s">
        <v>5</v>
      </c>
    </row>
    <row r="630" spans="2:9" ht="17.100000000000001" customHeight="1" x14ac:dyDescent="0.3">
      <c r="B630" s="19"/>
      <c r="C630" s="17"/>
      <c r="D630" s="4">
        <v>626</v>
      </c>
      <c r="E630" s="4">
        <v>12504</v>
      </c>
      <c r="F630" s="4" t="str">
        <f t="shared" si="39"/>
        <v>30D8</v>
      </c>
      <c r="G630" s="5" t="s">
        <v>1018</v>
      </c>
      <c r="H630" s="5" t="s">
        <v>2148</v>
      </c>
      <c r="I630" s="4" t="s">
        <v>4</v>
      </c>
    </row>
    <row r="631" spans="2:9" ht="17.100000000000001" customHeight="1" x14ac:dyDescent="0.3">
      <c r="B631" s="19"/>
      <c r="C631" s="17"/>
      <c r="D631" s="4">
        <v>627</v>
      </c>
      <c r="E631" s="4">
        <v>12508</v>
      </c>
      <c r="F631" s="4" t="str">
        <f t="shared" si="39"/>
        <v>30DC</v>
      </c>
      <c r="G631" s="5" t="s">
        <v>1019</v>
      </c>
      <c r="H631" s="5" t="s">
        <v>2149</v>
      </c>
      <c r="I631" s="4" t="s">
        <v>4</v>
      </c>
    </row>
    <row r="632" spans="2:9" ht="17.100000000000001" customHeight="1" x14ac:dyDescent="0.3">
      <c r="B632" s="19"/>
      <c r="C632" s="17"/>
      <c r="D632" s="4">
        <v>628</v>
      </c>
      <c r="E632" s="4">
        <v>12512</v>
      </c>
      <c r="F632" s="4" t="str">
        <f t="shared" si="39"/>
        <v>30E0</v>
      </c>
      <c r="G632" s="5" t="s">
        <v>1020</v>
      </c>
      <c r="H632" s="5" t="s">
        <v>2150</v>
      </c>
      <c r="I632" s="4" t="s">
        <v>4</v>
      </c>
    </row>
    <row r="633" spans="2:9" ht="17.100000000000001" customHeight="1" x14ac:dyDescent="0.3">
      <c r="B633" s="19"/>
      <c r="C633" s="17"/>
      <c r="D633" s="4">
        <v>629</v>
      </c>
      <c r="E633" s="4">
        <v>12516</v>
      </c>
      <c r="F633" s="4" t="str">
        <f t="shared" si="39"/>
        <v>30E4</v>
      </c>
      <c r="G633" s="5" t="s">
        <v>1021</v>
      </c>
      <c r="H633" s="5" t="s">
        <v>2151</v>
      </c>
      <c r="I633" s="4" t="s">
        <v>4</v>
      </c>
    </row>
    <row r="634" spans="2:9" ht="17.100000000000001" customHeight="1" x14ac:dyDescent="0.3">
      <c r="B634" s="19"/>
      <c r="C634" s="17"/>
      <c r="D634" s="4">
        <v>630</v>
      </c>
      <c r="E634" s="4">
        <v>12520</v>
      </c>
      <c r="F634" s="4" t="str">
        <f t="shared" si="39"/>
        <v>30E8</v>
      </c>
      <c r="G634" s="5" t="s">
        <v>1022</v>
      </c>
      <c r="H634" s="5" t="s">
        <v>2152</v>
      </c>
      <c r="I634" s="4" t="s">
        <v>4</v>
      </c>
    </row>
    <row r="635" spans="2:9" ht="17.100000000000001" customHeight="1" x14ac:dyDescent="0.3">
      <c r="B635" s="19"/>
      <c r="C635" s="17"/>
      <c r="D635" s="4">
        <v>631</v>
      </c>
      <c r="E635" s="4">
        <v>12524</v>
      </c>
      <c r="F635" s="4" t="str">
        <f t="shared" si="39"/>
        <v>30EC</v>
      </c>
      <c r="G635" s="5" t="s">
        <v>1023</v>
      </c>
      <c r="H635" s="5" t="s">
        <v>2153</v>
      </c>
      <c r="I635" s="4" t="s">
        <v>4</v>
      </c>
    </row>
    <row r="636" spans="2:9" ht="17.100000000000001" customHeight="1" x14ac:dyDescent="0.3">
      <c r="B636" s="19"/>
      <c r="C636" s="17"/>
      <c r="D636" s="4">
        <v>632</v>
      </c>
      <c r="E636" s="4">
        <v>12528</v>
      </c>
      <c r="F636" s="4" t="str">
        <f t="shared" si="39"/>
        <v>30F0</v>
      </c>
      <c r="G636" s="5" t="s">
        <v>1024</v>
      </c>
      <c r="H636" s="5" t="s">
        <v>2154</v>
      </c>
      <c r="I636" s="4" t="s">
        <v>4</v>
      </c>
    </row>
    <row r="637" spans="2:9" ht="17.100000000000001" customHeight="1" x14ac:dyDescent="0.3">
      <c r="B637" s="19"/>
      <c r="C637" s="17"/>
      <c r="D637" s="4">
        <v>633</v>
      </c>
      <c r="E637" s="4">
        <v>12532</v>
      </c>
      <c r="F637" s="4" t="str">
        <f t="shared" si="39"/>
        <v>30F4</v>
      </c>
      <c r="G637" s="5" t="s">
        <v>1025</v>
      </c>
      <c r="H637" s="5" t="s">
        <v>2155</v>
      </c>
      <c r="I637" s="4" t="s">
        <v>4</v>
      </c>
    </row>
    <row r="638" spans="2:9" ht="17.100000000000001" customHeight="1" x14ac:dyDescent="0.3">
      <c r="B638" s="19"/>
      <c r="C638" s="17"/>
      <c r="D638" s="4">
        <v>634</v>
      </c>
      <c r="E638" s="4">
        <v>12536</v>
      </c>
      <c r="F638" s="4" t="str">
        <f t="shared" si="39"/>
        <v>30F8</v>
      </c>
      <c r="G638" s="5" t="s">
        <v>1026</v>
      </c>
      <c r="H638" s="5" t="s">
        <v>2156</v>
      </c>
      <c r="I638" s="4" t="s">
        <v>4</v>
      </c>
    </row>
    <row r="639" spans="2:9" ht="17.100000000000001" customHeight="1" x14ac:dyDescent="0.3">
      <c r="B639" s="19"/>
      <c r="C639" s="17"/>
      <c r="D639" s="4">
        <v>635</v>
      </c>
      <c r="E639" s="4">
        <v>12540</v>
      </c>
      <c r="F639" s="4" t="str">
        <f t="shared" si="39"/>
        <v>30FC</v>
      </c>
      <c r="G639" s="6" t="str">
        <f t="shared" ref="G639:G643" si="42">"pUmem_Sta_TBD_"&amp;F639</f>
        <v>pUmem_Sta_TBD_30FC</v>
      </c>
      <c r="H639" s="6"/>
      <c r="I639" s="7"/>
    </row>
    <row r="640" spans="2:9" ht="17.100000000000001" customHeight="1" x14ac:dyDescent="0.3">
      <c r="B640" s="19"/>
      <c r="C640" s="17"/>
      <c r="D640" s="4">
        <v>636</v>
      </c>
      <c r="E640" s="4">
        <v>12544</v>
      </c>
      <c r="F640" s="4" t="str">
        <f t="shared" si="39"/>
        <v>3100</v>
      </c>
      <c r="G640" s="6" t="str">
        <f t="shared" si="42"/>
        <v>pUmem_Sta_TBD_3100</v>
      </c>
      <c r="H640" s="6"/>
      <c r="I640" s="7"/>
    </row>
    <row r="641" spans="2:9" ht="17.100000000000001" customHeight="1" x14ac:dyDescent="0.3">
      <c r="B641" s="19"/>
      <c r="C641" s="17"/>
      <c r="D641" s="4">
        <v>637</v>
      </c>
      <c r="E641" s="4">
        <v>12548</v>
      </c>
      <c r="F641" s="4" t="str">
        <f t="shared" si="39"/>
        <v>3104</v>
      </c>
      <c r="G641" s="6" t="str">
        <f t="shared" si="42"/>
        <v>pUmem_Sta_TBD_3104</v>
      </c>
      <c r="H641" s="6"/>
      <c r="I641" s="7"/>
    </row>
    <row r="642" spans="2:9" ht="17.100000000000001" customHeight="1" x14ac:dyDescent="0.3">
      <c r="B642" s="19"/>
      <c r="C642" s="17"/>
      <c r="D642" s="4">
        <v>638</v>
      </c>
      <c r="E642" s="4">
        <v>12552</v>
      </c>
      <c r="F642" s="4" t="str">
        <f t="shared" si="39"/>
        <v>3108</v>
      </c>
      <c r="G642" s="6" t="str">
        <f t="shared" si="42"/>
        <v>pUmem_Sta_TBD_3108</v>
      </c>
      <c r="H642" s="6"/>
      <c r="I642" s="7"/>
    </row>
    <row r="643" spans="2:9" ht="17.100000000000001" customHeight="1" x14ac:dyDescent="0.3">
      <c r="B643" s="19"/>
      <c r="C643" s="17"/>
      <c r="D643" s="4">
        <v>639</v>
      </c>
      <c r="E643" s="4">
        <v>12556</v>
      </c>
      <c r="F643" s="4" t="str">
        <f t="shared" si="39"/>
        <v>310C</v>
      </c>
      <c r="G643" s="6" t="str">
        <f t="shared" si="42"/>
        <v>pUmem_Sta_TBD_310C</v>
      </c>
      <c r="H643" s="6"/>
      <c r="I643" s="7"/>
    </row>
    <row r="647" spans="2:9" ht="17.100000000000001" customHeight="1" x14ac:dyDescent="0.3">
      <c r="B647" s="20" t="s">
        <v>271</v>
      </c>
      <c r="C647" s="21"/>
      <c r="D647" s="4">
        <v>0</v>
      </c>
      <c r="E647" s="4">
        <v>15000</v>
      </c>
      <c r="F647" s="4" t="str">
        <f>DEC2HEX(E647)</f>
        <v>3A98</v>
      </c>
      <c r="G647" s="5" t="s">
        <v>264</v>
      </c>
      <c r="H647" s="5" t="s">
        <v>2157</v>
      </c>
      <c r="I647" s="4" t="s">
        <v>4</v>
      </c>
    </row>
    <row r="648" spans="2:9" ht="17.100000000000001" customHeight="1" x14ac:dyDescent="0.3">
      <c r="B648" s="22"/>
      <c r="C648" s="23"/>
      <c r="D648" s="4">
        <v>1</v>
      </c>
      <c r="E648" s="4">
        <v>15004</v>
      </c>
      <c r="F648" s="4" t="str">
        <f t="shared" ref="F648:F666" si="43">DEC2HEX(E648)</f>
        <v>3A9C</v>
      </c>
      <c r="G648" s="5" t="s">
        <v>265</v>
      </c>
      <c r="H648" s="5" t="s">
        <v>2158</v>
      </c>
      <c r="I648" s="4" t="s">
        <v>4</v>
      </c>
    </row>
    <row r="649" spans="2:9" ht="17.100000000000001" customHeight="1" x14ac:dyDescent="0.3">
      <c r="B649" s="22"/>
      <c r="C649" s="23"/>
      <c r="D649" s="4">
        <v>2</v>
      </c>
      <c r="E649" s="4">
        <v>15008</v>
      </c>
      <c r="F649" s="4" t="str">
        <f t="shared" si="43"/>
        <v>3AA0</v>
      </c>
      <c r="G649" s="5" t="s">
        <v>266</v>
      </c>
      <c r="H649" s="5" t="s">
        <v>2159</v>
      </c>
      <c r="I649" s="4" t="s">
        <v>4</v>
      </c>
    </row>
    <row r="650" spans="2:9" ht="17.100000000000001" customHeight="1" x14ac:dyDescent="0.3">
      <c r="B650" s="22"/>
      <c r="C650" s="23"/>
      <c r="D650" s="4">
        <v>3</v>
      </c>
      <c r="E650" s="4">
        <v>15012</v>
      </c>
      <c r="F650" s="4" t="str">
        <f t="shared" si="43"/>
        <v>3AA4</v>
      </c>
      <c r="G650" s="5" t="s">
        <v>267</v>
      </c>
      <c r="H650" s="5" t="s">
        <v>2160</v>
      </c>
      <c r="I650" s="4" t="s">
        <v>4</v>
      </c>
    </row>
    <row r="651" spans="2:9" ht="17.100000000000001" customHeight="1" x14ac:dyDescent="0.3">
      <c r="B651" s="22"/>
      <c r="C651" s="23"/>
      <c r="D651" s="4">
        <v>4</v>
      </c>
      <c r="E651" s="4">
        <v>15016</v>
      </c>
      <c r="F651" s="4" t="str">
        <f t="shared" si="43"/>
        <v>3AA8</v>
      </c>
      <c r="G651" s="5" t="s">
        <v>268</v>
      </c>
      <c r="H651" s="5" t="s">
        <v>2161</v>
      </c>
      <c r="I651" s="4" t="s">
        <v>4</v>
      </c>
    </row>
    <row r="652" spans="2:9" ht="17.100000000000001" customHeight="1" x14ac:dyDescent="0.3">
      <c r="B652" s="22"/>
      <c r="C652" s="23"/>
      <c r="D652" s="4">
        <v>5</v>
      </c>
      <c r="E652" s="4">
        <v>15020</v>
      </c>
      <c r="F652" s="4" t="str">
        <f t="shared" si="43"/>
        <v>3AAC</v>
      </c>
      <c r="G652" s="5" t="s">
        <v>270</v>
      </c>
      <c r="H652" s="5" t="s">
        <v>2162</v>
      </c>
      <c r="I652" s="4" t="s">
        <v>4</v>
      </c>
    </row>
    <row r="653" spans="2:9" ht="17.100000000000001" customHeight="1" x14ac:dyDescent="0.3">
      <c r="B653" s="22"/>
      <c r="C653" s="23"/>
      <c r="D653" s="4">
        <v>6</v>
      </c>
      <c r="E653" s="4">
        <v>15024</v>
      </c>
      <c r="F653" s="4" t="str">
        <f t="shared" si="43"/>
        <v>3AB0</v>
      </c>
      <c r="G653" s="5" t="s">
        <v>269</v>
      </c>
      <c r="H653" s="5" t="s">
        <v>2163</v>
      </c>
      <c r="I653" s="4"/>
    </row>
    <row r="654" spans="2:9" ht="17.100000000000001" customHeight="1" x14ac:dyDescent="0.3">
      <c r="B654" s="22"/>
      <c r="C654" s="23"/>
      <c r="D654" s="4">
        <v>7</v>
      </c>
      <c r="E654" s="4">
        <v>15028</v>
      </c>
      <c r="F654" s="4" t="str">
        <f t="shared" si="43"/>
        <v>3AB4</v>
      </c>
      <c r="G654" s="5" t="s">
        <v>2189</v>
      </c>
      <c r="H654" s="5" t="s">
        <v>2188</v>
      </c>
      <c r="I654" s="4" t="s">
        <v>4</v>
      </c>
    </row>
    <row r="655" spans="2:9" ht="17.100000000000001" customHeight="1" x14ac:dyDescent="0.3">
      <c r="B655" s="22"/>
      <c r="C655" s="23"/>
      <c r="D655" s="4">
        <v>8</v>
      </c>
      <c r="E655" s="4">
        <v>15032</v>
      </c>
      <c r="F655" s="4" t="str">
        <f t="shared" si="43"/>
        <v>3AB8</v>
      </c>
      <c r="G655" s="6" t="str">
        <f t="shared" ref="G655:G666" si="44">"pUmem_Sta_TBD_"&amp;F655</f>
        <v>pUmem_Sta_TBD_3AB8</v>
      </c>
      <c r="H655" s="6"/>
      <c r="I655" s="7"/>
    </row>
    <row r="656" spans="2:9" ht="17.100000000000001" customHeight="1" x14ac:dyDescent="0.3">
      <c r="B656" s="22"/>
      <c r="C656" s="23"/>
      <c r="D656" s="4">
        <v>9</v>
      </c>
      <c r="E656" s="4">
        <v>15036</v>
      </c>
      <c r="F656" s="4" t="str">
        <f t="shared" si="43"/>
        <v>3ABC</v>
      </c>
      <c r="G656" s="6" t="str">
        <f t="shared" si="44"/>
        <v>pUmem_Sta_TBD_3ABC</v>
      </c>
      <c r="H656" s="6"/>
      <c r="I656" s="7"/>
    </row>
    <row r="657" spans="2:9" ht="17.100000000000001" customHeight="1" x14ac:dyDescent="0.3">
      <c r="B657" s="22"/>
      <c r="C657" s="23"/>
      <c r="D657" s="4">
        <v>10</v>
      </c>
      <c r="E657" s="4">
        <v>15040</v>
      </c>
      <c r="F657" s="4" t="str">
        <f t="shared" si="43"/>
        <v>3AC0</v>
      </c>
      <c r="G657" s="6" t="str">
        <f t="shared" si="44"/>
        <v>pUmem_Sta_TBD_3AC0</v>
      </c>
      <c r="H657" s="6"/>
      <c r="I657" s="7"/>
    </row>
    <row r="658" spans="2:9" ht="17.100000000000001" customHeight="1" x14ac:dyDescent="0.3">
      <c r="B658" s="22"/>
      <c r="C658" s="23"/>
      <c r="D658" s="4">
        <v>11</v>
      </c>
      <c r="E658" s="4">
        <v>15044</v>
      </c>
      <c r="F658" s="4" t="str">
        <f t="shared" si="43"/>
        <v>3AC4</v>
      </c>
      <c r="G658" s="6" t="str">
        <f t="shared" si="44"/>
        <v>pUmem_Sta_TBD_3AC4</v>
      </c>
      <c r="H658" s="6"/>
      <c r="I658" s="7"/>
    </row>
    <row r="659" spans="2:9" ht="17.100000000000001" customHeight="1" x14ac:dyDescent="0.3">
      <c r="B659" s="22"/>
      <c r="C659" s="23"/>
      <c r="D659" s="4">
        <v>12</v>
      </c>
      <c r="E659" s="4">
        <v>15048</v>
      </c>
      <c r="F659" s="4" t="str">
        <f t="shared" si="43"/>
        <v>3AC8</v>
      </c>
      <c r="G659" s="6" t="str">
        <f t="shared" si="44"/>
        <v>pUmem_Sta_TBD_3AC8</v>
      </c>
      <c r="H659" s="6"/>
      <c r="I659" s="7"/>
    </row>
    <row r="660" spans="2:9" ht="17.100000000000001" customHeight="1" x14ac:dyDescent="0.3">
      <c r="B660" s="22"/>
      <c r="C660" s="23"/>
      <c r="D660" s="4">
        <v>13</v>
      </c>
      <c r="E660" s="4">
        <v>15052</v>
      </c>
      <c r="F660" s="4" t="str">
        <f t="shared" si="43"/>
        <v>3ACC</v>
      </c>
      <c r="G660" s="6" t="str">
        <f t="shared" si="44"/>
        <v>pUmem_Sta_TBD_3ACC</v>
      </c>
      <c r="H660" s="6"/>
      <c r="I660" s="7"/>
    </row>
    <row r="661" spans="2:9" ht="17.100000000000001" customHeight="1" x14ac:dyDescent="0.3">
      <c r="B661" s="22"/>
      <c r="C661" s="23"/>
      <c r="D661" s="4">
        <v>14</v>
      </c>
      <c r="E661" s="4">
        <v>15056</v>
      </c>
      <c r="F661" s="4" t="str">
        <f t="shared" si="43"/>
        <v>3AD0</v>
      </c>
      <c r="G661" s="6" t="str">
        <f t="shared" si="44"/>
        <v>pUmem_Sta_TBD_3AD0</v>
      </c>
      <c r="H661" s="6"/>
      <c r="I661" s="7"/>
    </row>
    <row r="662" spans="2:9" ht="17.100000000000001" customHeight="1" x14ac:dyDescent="0.3">
      <c r="B662" s="22"/>
      <c r="C662" s="23"/>
      <c r="D662" s="4">
        <v>15</v>
      </c>
      <c r="E662" s="4">
        <v>15060</v>
      </c>
      <c r="F662" s="4" t="str">
        <f t="shared" si="43"/>
        <v>3AD4</v>
      </c>
      <c r="G662" s="6" t="str">
        <f t="shared" si="44"/>
        <v>pUmem_Sta_TBD_3AD4</v>
      </c>
      <c r="H662" s="6"/>
      <c r="I662" s="7"/>
    </row>
    <row r="663" spans="2:9" ht="17.100000000000001" customHeight="1" x14ac:dyDescent="0.3">
      <c r="B663" s="22"/>
      <c r="C663" s="23"/>
      <c r="D663" s="4">
        <v>16</v>
      </c>
      <c r="E663" s="4">
        <v>15064</v>
      </c>
      <c r="F663" s="4" t="str">
        <f t="shared" si="43"/>
        <v>3AD8</v>
      </c>
      <c r="G663" s="6" t="str">
        <f t="shared" si="44"/>
        <v>pUmem_Sta_TBD_3AD8</v>
      </c>
      <c r="H663" s="6"/>
      <c r="I663" s="7"/>
    </row>
    <row r="664" spans="2:9" ht="17.100000000000001" customHeight="1" x14ac:dyDescent="0.3">
      <c r="B664" s="22"/>
      <c r="C664" s="23"/>
      <c r="D664" s="4">
        <v>17</v>
      </c>
      <c r="E664" s="4">
        <v>15068</v>
      </c>
      <c r="F664" s="4" t="str">
        <f t="shared" si="43"/>
        <v>3ADC</v>
      </c>
      <c r="G664" s="6" t="str">
        <f t="shared" si="44"/>
        <v>pUmem_Sta_TBD_3ADC</v>
      </c>
      <c r="H664" s="6"/>
      <c r="I664" s="7"/>
    </row>
    <row r="665" spans="2:9" ht="17.100000000000001" customHeight="1" x14ac:dyDescent="0.3">
      <c r="B665" s="22"/>
      <c r="C665" s="23"/>
      <c r="D665" s="4">
        <v>18</v>
      </c>
      <c r="E665" s="4">
        <v>15072</v>
      </c>
      <c r="F665" s="4" t="str">
        <f t="shared" si="43"/>
        <v>3AE0</v>
      </c>
      <c r="G665" s="6" t="str">
        <f t="shared" si="44"/>
        <v>pUmem_Sta_TBD_3AE0</v>
      </c>
      <c r="H665" s="6"/>
      <c r="I665" s="7"/>
    </row>
    <row r="666" spans="2:9" ht="17.100000000000001" customHeight="1" x14ac:dyDescent="0.3">
      <c r="B666" s="22"/>
      <c r="C666" s="23"/>
      <c r="D666" s="4">
        <v>19</v>
      </c>
      <c r="E666" s="4">
        <v>15076</v>
      </c>
      <c r="F666" s="4" t="str">
        <f t="shared" si="43"/>
        <v>3AE4</v>
      </c>
      <c r="G666" s="6" t="str">
        <f t="shared" si="44"/>
        <v>pUmem_Sta_TBD_3AE4</v>
      </c>
      <c r="H666" s="6"/>
      <c r="I666" s="7"/>
    </row>
    <row r="667" spans="2:9" ht="17.100000000000001" customHeight="1" x14ac:dyDescent="0.3">
      <c r="B667" s="22"/>
      <c r="C667" s="23"/>
      <c r="D667" s="4">
        <v>20</v>
      </c>
      <c r="E667" s="4">
        <v>15080</v>
      </c>
      <c r="F667" s="4" t="str">
        <f t="shared" ref="F667:F674" si="45">DEC2HEX(E667)</f>
        <v>3AE8</v>
      </c>
      <c r="G667" s="6" t="str">
        <f t="shared" ref="G667:G674" si="46">"pUmem_Sta_TBD_"&amp;F667</f>
        <v>pUmem_Sta_TBD_3AE8</v>
      </c>
      <c r="H667" s="6"/>
      <c r="I667" s="7"/>
    </row>
    <row r="668" spans="2:9" ht="17.100000000000001" customHeight="1" x14ac:dyDescent="0.3">
      <c r="B668" s="22"/>
      <c r="C668" s="23"/>
      <c r="D668" s="4">
        <v>21</v>
      </c>
      <c r="E668" s="4">
        <v>15084</v>
      </c>
      <c r="F668" s="4" t="str">
        <f t="shared" si="45"/>
        <v>3AEC</v>
      </c>
      <c r="G668" s="6" t="str">
        <f t="shared" si="46"/>
        <v>pUmem_Sta_TBD_3AEC</v>
      </c>
      <c r="H668" s="6"/>
      <c r="I668" s="7"/>
    </row>
    <row r="669" spans="2:9" ht="17.100000000000001" customHeight="1" x14ac:dyDescent="0.3">
      <c r="B669" s="22"/>
      <c r="C669" s="23"/>
      <c r="D669" s="4">
        <v>22</v>
      </c>
      <c r="E669" s="4">
        <v>15088</v>
      </c>
      <c r="F669" s="4" t="str">
        <f t="shared" si="45"/>
        <v>3AF0</v>
      </c>
      <c r="G669" s="6" t="str">
        <f t="shared" si="46"/>
        <v>pUmem_Sta_TBD_3AF0</v>
      </c>
      <c r="H669" s="6"/>
      <c r="I669" s="7"/>
    </row>
    <row r="670" spans="2:9" ht="17.100000000000001" customHeight="1" x14ac:dyDescent="0.3">
      <c r="B670" s="22"/>
      <c r="C670" s="23"/>
      <c r="D670" s="4">
        <v>23</v>
      </c>
      <c r="E670" s="4">
        <v>15092</v>
      </c>
      <c r="F670" s="4" t="str">
        <f t="shared" si="45"/>
        <v>3AF4</v>
      </c>
      <c r="G670" s="6" t="str">
        <f t="shared" si="46"/>
        <v>pUmem_Sta_TBD_3AF4</v>
      </c>
      <c r="H670" s="6"/>
      <c r="I670" s="7"/>
    </row>
    <row r="671" spans="2:9" ht="17.100000000000001" customHeight="1" x14ac:dyDescent="0.3">
      <c r="B671" s="22"/>
      <c r="C671" s="23"/>
      <c r="D671" s="4">
        <v>24</v>
      </c>
      <c r="E671" s="4">
        <v>15096</v>
      </c>
      <c r="F671" s="4" t="str">
        <f t="shared" si="45"/>
        <v>3AF8</v>
      </c>
      <c r="G671" s="6" t="str">
        <f t="shared" si="46"/>
        <v>pUmem_Sta_TBD_3AF8</v>
      </c>
      <c r="H671" s="6"/>
      <c r="I671" s="7"/>
    </row>
    <row r="672" spans="2:9" ht="17.100000000000001" customHeight="1" x14ac:dyDescent="0.3">
      <c r="B672" s="22"/>
      <c r="C672" s="23"/>
      <c r="D672" s="4">
        <v>25</v>
      </c>
      <c r="E672" s="4">
        <v>15100</v>
      </c>
      <c r="F672" s="4" t="str">
        <f t="shared" si="45"/>
        <v>3AFC</v>
      </c>
      <c r="G672" s="6" t="str">
        <f t="shared" si="46"/>
        <v>pUmem_Sta_TBD_3AFC</v>
      </c>
      <c r="H672" s="6"/>
      <c r="I672" s="7"/>
    </row>
    <row r="673" spans="2:9" ht="17.100000000000001" customHeight="1" x14ac:dyDescent="0.3">
      <c r="B673" s="22"/>
      <c r="C673" s="23"/>
      <c r="D673" s="4">
        <v>26</v>
      </c>
      <c r="E673" s="4">
        <v>15104</v>
      </c>
      <c r="F673" s="4" t="str">
        <f t="shared" si="45"/>
        <v>3B00</v>
      </c>
      <c r="G673" s="6" t="str">
        <f t="shared" si="46"/>
        <v>pUmem_Sta_TBD_3B00</v>
      </c>
      <c r="H673" s="6"/>
      <c r="I673" s="7"/>
    </row>
    <row r="674" spans="2:9" ht="17.100000000000001" customHeight="1" x14ac:dyDescent="0.3">
      <c r="B674" s="22"/>
      <c r="C674" s="23"/>
      <c r="D674" s="4">
        <v>27</v>
      </c>
      <c r="E674" s="4">
        <v>15108</v>
      </c>
      <c r="F674" s="4" t="str">
        <f t="shared" si="45"/>
        <v>3B04</v>
      </c>
      <c r="G674" s="6" t="str">
        <f t="shared" si="46"/>
        <v>pUmem_Sta_TBD_3B04</v>
      </c>
      <c r="H674" s="6"/>
      <c r="I674" s="7"/>
    </row>
    <row r="675" spans="2:9" ht="17.100000000000001" customHeight="1" x14ac:dyDescent="0.3">
      <c r="B675" s="22"/>
      <c r="C675" s="23"/>
      <c r="D675" s="4">
        <v>28</v>
      </c>
      <c r="E675" s="4">
        <v>15112</v>
      </c>
      <c r="F675" s="4" t="str">
        <f t="shared" ref="F675:F676" si="47">DEC2HEX(E675)</f>
        <v>3B08</v>
      </c>
      <c r="G675" s="6" t="str">
        <f t="shared" ref="G675:G676" si="48">"pUmem_Sta_TBD_"&amp;F675</f>
        <v>pUmem_Sta_TBD_3B08</v>
      </c>
      <c r="H675" s="6"/>
      <c r="I675" s="7"/>
    </row>
    <row r="676" spans="2:9" ht="17.100000000000001" customHeight="1" x14ac:dyDescent="0.3">
      <c r="B676" s="24"/>
      <c r="C676" s="25"/>
      <c r="D676" s="4">
        <v>29</v>
      </c>
      <c r="E676" s="4">
        <v>15116</v>
      </c>
      <c r="F676" s="4" t="str">
        <f t="shared" si="47"/>
        <v>3B0C</v>
      </c>
      <c r="G676" s="6" t="str">
        <f t="shared" si="48"/>
        <v>pUmem_Sta_TBD_3B0C</v>
      </c>
      <c r="H676" s="6"/>
      <c r="I676" s="7"/>
    </row>
    <row r="677" spans="2:9" ht="17.100000000000001" customHeight="1" x14ac:dyDescent="0.3">
      <c r="B677" s="9"/>
      <c r="C677" s="9"/>
      <c r="D677" s="10"/>
      <c r="E677" s="10"/>
      <c r="F677" s="10"/>
      <c r="G677" s="11"/>
      <c r="H677" s="11"/>
    </row>
    <row r="678" spans="2:9" ht="17.100000000000001" customHeight="1" x14ac:dyDescent="0.3">
      <c r="B678" s="19" t="s">
        <v>2174</v>
      </c>
      <c r="C678" s="19"/>
      <c r="D678" s="4">
        <v>0</v>
      </c>
      <c r="E678" s="4">
        <v>16000</v>
      </c>
      <c r="F678" s="4" t="str">
        <f t="shared" ref="F678:F707" si="49">DEC2HEX(E678)</f>
        <v>3E80</v>
      </c>
      <c r="G678" s="5" t="s">
        <v>2181</v>
      </c>
      <c r="H678" s="5" t="s">
        <v>2166</v>
      </c>
      <c r="I678" s="4" t="s">
        <v>14</v>
      </c>
    </row>
    <row r="679" spans="2:9" ht="17.100000000000001" customHeight="1" x14ac:dyDescent="0.3">
      <c r="B679" s="19"/>
      <c r="C679" s="19"/>
      <c r="D679" s="4">
        <v>1</v>
      </c>
      <c r="E679" s="4">
        <v>16004</v>
      </c>
      <c r="F679" s="4" t="str">
        <f t="shared" si="49"/>
        <v>3E84</v>
      </c>
      <c r="G679" s="5" t="s">
        <v>2182</v>
      </c>
      <c r="H679" s="5" t="s">
        <v>2167</v>
      </c>
      <c r="I679" s="4" t="s">
        <v>14</v>
      </c>
    </row>
    <row r="680" spans="2:9" ht="17.100000000000001" customHeight="1" x14ac:dyDescent="0.3">
      <c r="B680" s="19"/>
      <c r="C680" s="19"/>
      <c r="D680" s="4">
        <v>2</v>
      </c>
      <c r="E680" s="4">
        <v>16008</v>
      </c>
      <c r="F680" s="4" t="str">
        <f t="shared" si="49"/>
        <v>3E88</v>
      </c>
      <c r="G680" s="5" t="s">
        <v>2183</v>
      </c>
      <c r="H680" s="5" t="s">
        <v>2168</v>
      </c>
      <c r="I680" s="4" t="s">
        <v>14</v>
      </c>
    </row>
    <row r="681" spans="2:9" ht="17.100000000000001" customHeight="1" x14ac:dyDescent="0.3">
      <c r="B681" s="19"/>
      <c r="C681" s="19"/>
      <c r="D681" s="4">
        <v>3</v>
      </c>
      <c r="E681" s="4">
        <v>16012</v>
      </c>
      <c r="F681" s="4" t="str">
        <f t="shared" si="49"/>
        <v>3E8C</v>
      </c>
      <c r="G681" s="5" t="s">
        <v>2165</v>
      </c>
      <c r="H681" s="5" t="s">
        <v>2169</v>
      </c>
      <c r="I681" s="4" t="s">
        <v>2173</v>
      </c>
    </row>
    <row r="682" spans="2:9" ht="17.100000000000001" customHeight="1" x14ac:dyDescent="0.3">
      <c r="B682" s="19"/>
      <c r="C682" s="19"/>
      <c r="D682" s="4">
        <v>4</v>
      </c>
      <c r="E682" s="4">
        <v>16016</v>
      </c>
      <c r="F682" s="4" t="str">
        <f t="shared" si="49"/>
        <v>3E90</v>
      </c>
      <c r="G682" s="5" t="s">
        <v>2170</v>
      </c>
      <c r="H682" s="5" t="s">
        <v>2171</v>
      </c>
      <c r="I682" s="4" t="s">
        <v>2172</v>
      </c>
    </row>
    <row r="683" spans="2:9" ht="17.100000000000001" customHeight="1" x14ac:dyDescent="0.3">
      <c r="B683" s="19"/>
      <c r="C683" s="19"/>
      <c r="D683" s="4">
        <v>5</v>
      </c>
      <c r="E683" s="4">
        <v>16020</v>
      </c>
      <c r="F683" s="4" t="str">
        <f t="shared" si="49"/>
        <v>3E94</v>
      </c>
      <c r="G683" s="5" t="s">
        <v>2178</v>
      </c>
      <c r="H683" s="5" t="s">
        <v>2179</v>
      </c>
      <c r="I683" s="4" t="s">
        <v>14</v>
      </c>
    </row>
    <row r="684" spans="2:9" ht="17.100000000000001" customHeight="1" x14ac:dyDescent="0.3">
      <c r="B684" s="19"/>
      <c r="C684" s="19"/>
      <c r="D684" s="4">
        <v>6</v>
      </c>
      <c r="E684" s="4">
        <v>16024</v>
      </c>
      <c r="F684" s="4" t="str">
        <f t="shared" si="49"/>
        <v>3E98</v>
      </c>
      <c r="G684" s="5" t="s">
        <v>2187</v>
      </c>
      <c r="H684" s="5" t="s">
        <v>2180</v>
      </c>
      <c r="I684" s="4" t="s">
        <v>14</v>
      </c>
    </row>
    <row r="685" spans="2:9" ht="17.100000000000001" customHeight="1" x14ac:dyDescent="0.3">
      <c r="B685" s="19"/>
      <c r="C685" s="19"/>
      <c r="D685" s="4">
        <v>7</v>
      </c>
      <c r="E685" s="4">
        <v>16028</v>
      </c>
      <c r="F685" s="4" t="str">
        <f t="shared" si="49"/>
        <v>3E9C</v>
      </c>
      <c r="G685" s="6" t="str">
        <f t="shared" ref="G685:G707" si="50">"pUmem_Sta_TBD_"&amp;F685</f>
        <v>pUmem_Sta_TBD_3E9C</v>
      </c>
      <c r="H685" s="6"/>
      <c r="I685" s="7"/>
    </row>
    <row r="686" spans="2:9" ht="17.100000000000001" customHeight="1" x14ac:dyDescent="0.3">
      <c r="B686" s="19"/>
      <c r="C686" s="19"/>
      <c r="D686" s="4">
        <v>8</v>
      </c>
      <c r="E686" s="4">
        <v>16032</v>
      </c>
      <c r="F686" s="4" t="str">
        <f t="shared" si="49"/>
        <v>3EA0</v>
      </c>
      <c r="G686" s="6" t="str">
        <f t="shared" si="50"/>
        <v>pUmem_Sta_TBD_3EA0</v>
      </c>
      <c r="H686" s="6"/>
      <c r="I686" s="7"/>
    </row>
    <row r="687" spans="2:9" ht="17.100000000000001" customHeight="1" x14ac:dyDescent="0.3">
      <c r="B687" s="19"/>
      <c r="C687" s="19"/>
      <c r="D687" s="4">
        <v>9</v>
      </c>
      <c r="E687" s="4">
        <v>16036</v>
      </c>
      <c r="F687" s="4" t="str">
        <f t="shared" si="49"/>
        <v>3EA4</v>
      </c>
      <c r="G687" s="6" t="str">
        <f t="shared" si="50"/>
        <v>pUmem_Sta_TBD_3EA4</v>
      </c>
      <c r="H687" s="6"/>
      <c r="I687" s="7"/>
    </row>
    <row r="688" spans="2:9" ht="17.100000000000001" customHeight="1" x14ac:dyDescent="0.3">
      <c r="B688" s="19"/>
      <c r="C688" s="19"/>
      <c r="D688" s="4">
        <v>10</v>
      </c>
      <c r="E688" s="4">
        <v>16040</v>
      </c>
      <c r="F688" s="4" t="str">
        <f t="shared" si="49"/>
        <v>3EA8</v>
      </c>
      <c r="G688" s="6" t="str">
        <f t="shared" si="50"/>
        <v>pUmem_Sta_TBD_3EA8</v>
      </c>
      <c r="H688" s="6"/>
      <c r="I688" s="7"/>
    </row>
    <row r="689" spans="2:9" ht="17.100000000000001" customHeight="1" x14ac:dyDescent="0.3">
      <c r="B689" s="19"/>
      <c r="C689" s="19"/>
      <c r="D689" s="4">
        <v>11</v>
      </c>
      <c r="E689" s="4">
        <v>16044</v>
      </c>
      <c r="F689" s="4" t="str">
        <f t="shared" si="49"/>
        <v>3EAC</v>
      </c>
      <c r="G689" s="6" t="str">
        <f t="shared" si="50"/>
        <v>pUmem_Sta_TBD_3EAC</v>
      </c>
      <c r="H689" s="6"/>
      <c r="I689" s="7"/>
    </row>
    <row r="690" spans="2:9" ht="17.100000000000001" customHeight="1" x14ac:dyDescent="0.3">
      <c r="B690" s="19"/>
      <c r="C690" s="19"/>
      <c r="D690" s="4">
        <v>12</v>
      </c>
      <c r="E690" s="4">
        <v>16048</v>
      </c>
      <c r="F690" s="4" t="str">
        <f t="shared" si="49"/>
        <v>3EB0</v>
      </c>
      <c r="G690" s="6" t="str">
        <f t="shared" si="50"/>
        <v>pUmem_Sta_TBD_3EB0</v>
      </c>
      <c r="H690" s="6"/>
      <c r="I690" s="7"/>
    </row>
    <row r="691" spans="2:9" ht="17.100000000000001" customHeight="1" x14ac:dyDescent="0.3">
      <c r="B691" s="19"/>
      <c r="C691" s="19"/>
      <c r="D691" s="4">
        <v>13</v>
      </c>
      <c r="E691" s="4">
        <v>16052</v>
      </c>
      <c r="F691" s="4" t="str">
        <f t="shared" si="49"/>
        <v>3EB4</v>
      </c>
      <c r="G691" s="6" t="str">
        <f t="shared" si="50"/>
        <v>pUmem_Sta_TBD_3EB4</v>
      </c>
      <c r="H691" s="6"/>
      <c r="I691" s="7"/>
    </row>
    <row r="692" spans="2:9" ht="17.100000000000001" customHeight="1" x14ac:dyDescent="0.3">
      <c r="B692" s="19"/>
      <c r="C692" s="19"/>
      <c r="D692" s="4">
        <v>14</v>
      </c>
      <c r="E692" s="4">
        <v>16056</v>
      </c>
      <c r="F692" s="4" t="str">
        <f t="shared" si="49"/>
        <v>3EB8</v>
      </c>
      <c r="G692" s="6" t="str">
        <f t="shared" si="50"/>
        <v>pUmem_Sta_TBD_3EB8</v>
      </c>
      <c r="H692" s="6"/>
      <c r="I692" s="7"/>
    </row>
    <row r="693" spans="2:9" ht="17.100000000000001" customHeight="1" x14ac:dyDescent="0.3">
      <c r="B693" s="19"/>
      <c r="C693" s="19"/>
      <c r="D693" s="4">
        <v>15</v>
      </c>
      <c r="E693" s="4">
        <v>16060</v>
      </c>
      <c r="F693" s="4" t="str">
        <f t="shared" si="49"/>
        <v>3EBC</v>
      </c>
      <c r="G693" s="6" t="str">
        <f t="shared" si="50"/>
        <v>pUmem_Sta_TBD_3EBC</v>
      </c>
      <c r="H693" s="6"/>
      <c r="I693" s="7"/>
    </row>
    <row r="694" spans="2:9" ht="17.100000000000001" customHeight="1" x14ac:dyDescent="0.3">
      <c r="B694" s="19"/>
      <c r="C694" s="19"/>
      <c r="D694" s="4">
        <v>16</v>
      </c>
      <c r="E694" s="4">
        <v>16064</v>
      </c>
      <c r="F694" s="4" t="str">
        <f t="shared" si="49"/>
        <v>3EC0</v>
      </c>
      <c r="G694" s="6" t="str">
        <f t="shared" si="50"/>
        <v>pUmem_Sta_TBD_3EC0</v>
      </c>
      <c r="H694" s="6"/>
      <c r="I694" s="7"/>
    </row>
    <row r="695" spans="2:9" ht="17.100000000000001" customHeight="1" x14ac:dyDescent="0.3">
      <c r="B695" s="19"/>
      <c r="C695" s="19"/>
      <c r="D695" s="4">
        <v>17</v>
      </c>
      <c r="E695" s="4">
        <v>16068</v>
      </c>
      <c r="F695" s="4" t="str">
        <f t="shared" si="49"/>
        <v>3EC4</v>
      </c>
      <c r="G695" s="6" t="str">
        <f t="shared" si="50"/>
        <v>pUmem_Sta_TBD_3EC4</v>
      </c>
      <c r="H695" s="6"/>
      <c r="I695" s="7"/>
    </row>
    <row r="696" spans="2:9" ht="17.100000000000001" customHeight="1" x14ac:dyDescent="0.3">
      <c r="B696" s="19"/>
      <c r="C696" s="19"/>
      <c r="D696" s="4">
        <v>18</v>
      </c>
      <c r="E696" s="4">
        <v>16072</v>
      </c>
      <c r="F696" s="4" t="str">
        <f t="shared" si="49"/>
        <v>3EC8</v>
      </c>
      <c r="G696" s="6" t="str">
        <f t="shared" si="50"/>
        <v>pUmem_Sta_TBD_3EC8</v>
      </c>
      <c r="H696" s="6"/>
      <c r="I696" s="7"/>
    </row>
    <row r="697" spans="2:9" ht="17.100000000000001" customHeight="1" x14ac:dyDescent="0.3">
      <c r="B697" s="19"/>
      <c r="C697" s="19"/>
      <c r="D697" s="4">
        <v>19</v>
      </c>
      <c r="E697" s="4">
        <v>16076</v>
      </c>
      <c r="F697" s="4" t="str">
        <f t="shared" si="49"/>
        <v>3ECC</v>
      </c>
      <c r="G697" s="6" t="str">
        <f t="shared" si="50"/>
        <v>pUmem_Sta_TBD_3ECC</v>
      </c>
      <c r="H697" s="6"/>
      <c r="I697" s="7"/>
    </row>
    <row r="698" spans="2:9" ht="17.100000000000001" customHeight="1" x14ac:dyDescent="0.3">
      <c r="B698" s="19"/>
      <c r="C698" s="19"/>
      <c r="D698" s="4">
        <v>20</v>
      </c>
      <c r="E698" s="4">
        <v>16080</v>
      </c>
      <c r="F698" s="4" t="str">
        <f t="shared" si="49"/>
        <v>3ED0</v>
      </c>
      <c r="G698" s="6" t="str">
        <f t="shared" si="50"/>
        <v>pUmem_Sta_TBD_3ED0</v>
      </c>
      <c r="H698" s="6"/>
      <c r="I698" s="7"/>
    </row>
    <row r="699" spans="2:9" ht="17.100000000000001" customHeight="1" x14ac:dyDescent="0.3">
      <c r="B699" s="19"/>
      <c r="C699" s="19"/>
      <c r="D699" s="4">
        <v>21</v>
      </c>
      <c r="E699" s="4">
        <v>16084</v>
      </c>
      <c r="F699" s="4" t="str">
        <f t="shared" si="49"/>
        <v>3ED4</v>
      </c>
      <c r="G699" s="6" t="str">
        <f t="shared" si="50"/>
        <v>pUmem_Sta_TBD_3ED4</v>
      </c>
      <c r="H699" s="6"/>
      <c r="I699" s="7"/>
    </row>
    <row r="700" spans="2:9" ht="17.100000000000001" customHeight="1" x14ac:dyDescent="0.3">
      <c r="B700" s="19"/>
      <c r="C700" s="19"/>
      <c r="D700" s="4">
        <v>22</v>
      </c>
      <c r="E700" s="4">
        <v>16088</v>
      </c>
      <c r="F700" s="4" t="str">
        <f t="shared" si="49"/>
        <v>3ED8</v>
      </c>
      <c r="G700" s="6" t="str">
        <f t="shared" si="50"/>
        <v>pUmem_Sta_TBD_3ED8</v>
      </c>
      <c r="H700" s="6"/>
      <c r="I700" s="7"/>
    </row>
    <row r="701" spans="2:9" ht="17.100000000000001" customHeight="1" x14ac:dyDescent="0.3">
      <c r="B701" s="19"/>
      <c r="C701" s="19"/>
      <c r="D701" s="4">
        <v>23</v>
      </c>
      <c r="E701" s="4">
        <v>16092</v>
      </c>
      <c r="F701" s="4" t="str">
        <f t="shared" si="49"/>
        <v>3EDC</v>
      </c>
      <c r="G701" s="6" t="str">
        <f t="shared" si="50"/>
        <v>pUmem_Sta_TBD_3EDC</v>
      </c>
      <c r="H701" s="6"/>
      <c r="I701" s="7"/>
    </row>
    <row r="702" spans="2:9" ht="17.100000000000001" customHeight="1" x14ac:dyDescent="0.3">
      <c r="B702" s="19"/>
      <c r="C702" s="19"/>
      <c r="D702" s="4">
        <v>24</v>
      </c>
      <c r="E702" s="4">
        <v>16096</v>
      </c>
      <c r="F702" s="4" t="str">
        <f t="shared" si="49"/>
        <v>3EE0</v>
      </c>
      <c r="G702" s="6" t="str">
        <f t="shared" si="50"/>
        <v>pUmem_Sta_TBD_3EE0</v>
      </c>
      <c r="H702" s="6"/>
      <c r="I702" s="7"/>
    </row>
    <row r="703" spans="2:9" ht="17.100000000000001" customHeight="1" x14ac:dyDescent="0.3">
      <c r="B703" s="19"/>
      <c r="C703" s="19"/>
      <c r="D703" s="4">
        <v>25</v>
      </c>
      <c r="E703" s="4">
        <v>16100</v>
      </c>
      <c r="F703" s="4" t="str">
        <f t="shared" si="49"/>
        <v>3EE4</v>
      </c>
      <c r="G703" s="6" t="str">
        <f t="shared" si="50"/>
        <v>pUmem_Sta_TBD_3EE4</v>
      </c>
      <c r="H703" s="6"/>
      <c r="I703" s="7"/>
    </row>
    <row r="704" spans="2:9" ht="17.100000000000001" customHeight="1" x14ac:dyDescent="0.3">
      <c r="B704" s="19"/>
      <c r="C704" s="19"/>
      <c r="D704" s="4">
        <v>26</v>
      </c>
      <c r="E704" s="4">
        <v>16104</v>
      </c>
      <c r="F704" s="4" t="str">
        <f t="shared" si="49"/>
        <v>3EE8</v>
      </c>
      <c r="G704" s="6" t="str">
        <f t="shared" si="50"/>
        <v>pUmem_Sta_TBD_3EE8</v>
      </c>
      <c r="H704" s="6"/>
      <c r="I704" s="7"/>
    </row>
    <row r="705" spans="2:9" ht="17.100000000000001" customHeight="1" x14ac:dyDescent="0.3">
      <c r="B705" s="19"/>
      <c r="C705" s="19"/>
      <c r="D705" s="4">
        <v>27</v>
      </c>
      <c r="E705" s="4">
        <v>16108</v>
      </c>
      <c r="F705" s="4" t="str">
        <f t="shared" si="49"/>
        <v>3EEC</v>
      </c>
      <c r="G705" s="6" t="str">
        <f t="shared" si="50"/>
        <v>pUmem_Sta_TBD_3EEC</v>
      </c>
      <c r="H705" s="6"/>
      <c r="I705" s="7"/>
    </row>
    <row r="706" spans="2:9" ht="17.100000000000001" customHeight="1" x14ac:dyDescent="0.3">
      <c r="B706" s="19"/>
      <c r="C706" s="19"/>
      <c r="D706" s="4">
        <v>28</v>
      </c>
      <c r="E706" s="4">
        <v>16112</v>
      </c>
      <c r="F706" s="4" t="str">
        <f t="shared" si="49"/>
        <v>3EF0</v>
      </c>
      <c r="G706" s="6" t="str">
        <f t="shared" si="50"/>
        <v>pUmem_Sta_TBD_3EF0</v>
      </c>
      <c r="H706" s="6"/>
      <c r="I706" s="7"/>
    </row>
    <row r="707" spans="2:9" ht="17.100000000000001" customHeight="1" x14ac:dyDescent="0.3">
      <c r="B707" s="19"/>
      <c r="C707" s="19"/>
      <c r="D707" s="4">
        <v>29</v>
      </c>
      <c r="E707" s="4">
        <v>16116</v>
      </c>
      <c r="F707" s="4" t="str">
        <f t="shared" si="49"/>
        <v>3EF4</v>
      </c>
      <c r="G707" s="6" t="str">
        <f t="shared" si="50"/>
        <v>pUmem_Sta_TBD_3EF4</v>
      </c>
      <c r="H707" s="6"/>
      <c r="I707" s="7"/>
    </row>
    <row r="709" spans="2:9" ht="17.100000000000001" customHeight="1" x14ac:dyDescent="0.3">
      <c r="B709" s="19" t="s">
        <v>2175</v>
      </c>
      <c r="C709" s="19"/>
      <c r="D709" s="4">
        <v>0</v>
      </c>
      <c r="E709" s="4">
        <v>17000</v>
      </c>
      <c r="F709" s="4" t="str">
        <f t="shared" ref="F709:F738" si="51">DEC2HEX(E709)</f>
        <v>4268</v>
      </c>
      <c r="G709" s="5" t="s">
        <v>2184</v>
      </c>
      <c r="H709" s="5" t="s">
        <v>2166</v>
      </c>
      <c r="I709" s="4" t="s">
        <v>14</v>
      </c>
    </row>
    <row r="710" spans="2:9" ht="17.100000000000001" customHeight="1" x14ac:dyDescent="0.3">
      <c r="B710" s="19"/>
      <c r="C710" s="19"/>
      <c r="D710" s="4">
        <v>1</v>
      </c>
      <c r="E710" s="4">
        <v>17004</v>
      </c>
      <c r="F710" s="4" t="str">
        <f t="shared" si="51"/>
        <v>426C</v>
      </c>
      <c r="G710" s="5" t="s">
        <v>2185</v>
      </c>
      <c r="H710" s="5" t="s">
        <v>2167</v>
      </c>
      <c r="I710" s="4" t="s">
        <v>14</v>
      </c>
    </row>
    <row r="711" spans="2:9" ht="17.100000000000001" customHeight="1" x14ac:dyDescent="0.3">
      <c r="B711" s="19"/>
      <c r="C711" s="19"/>
      <c r="D711" s="4">
        <v>2</v>
      </c>
      <c r="E711" s="4">
        <v>17008</v>
      </c>
      <c r="F711" s="4" t="str">
        <f t="shared" si="51"/>
        <v>4270</v>
      </c>
      <c r="G711" s="5" t="s">
        <v>2186</v>
      </c>
      <c r="H711" s="5" t="s">
        <v>2168</v>
      </c>
      <c r="I711" s="4" t="s">
        <v>14</v>
      </c>
    </row>
    <row r="712" spans="2:9" ht="17.100000000000001" customHeight="1" x14ac:dyDescent="0.3">
      <c r="B712" s="19"/>
      <c r="C712" s="19"/>
      <c r="D712" s="4">
        <v>3</v>
      </c>
      <c r="E712" s="4">
        <v>17012</v>
      </c>
      <c r="F712" s="4" t="str">
        <f t="shared" si="51"/>
        <v>4274</v>
      </c>
      <c r="G712" s="5" t="s">
        <v>2176</v>
      </c>
      <c r="H712" s="5" t="s">
        <v>2169</v>
      </c>
      <c r="I712" s="4" t="s">
        <v>2173</v>
      </c>
    </row>
    <row r="713" spans="2:9" ht="17.100000000000001" customHeight="1" x14ac:dyDescent="0.3">
      <c r="B713" s="19"/>
      <c r="C713" s="19"/>
      <c r="D713" s="4">
        <v>4</v>
      </c>
      <c r="E713" s="4">
        <v>17016</v>
      </c>
      <c r="F713" s="4" t="str">
        <f t="shared" si="51"/>
        <v>4278</v>
      </c>
      <c r="G713" s="5" t="s">
        <v>2177</v>
      </c>
      <c r="H713" s="5" t="s">
        <v>2171</v>
      </c>
      <c r="I713" s="4" t="s">
        <v>2172</v>
      </c>
    </row>
    <row r="714" spans="2:9" ht="17.100000000000001" customHeight="1" x14ac:dyDescent="0.3">
      <c r="B714" s="19"/>
      <c r="C714" s="19"/>
      <c r="D714" s="4">
        <v>5</v>
      </c>
      <c r="E714" s="4">
        <v>17020</v>
      </c>
      <c r="F714" s="4" t="str">
        <f t="shared" si="51"/>
        <v>427C</v>
      </c>
      <c r="G714" s="6" t="str">
        <f t="shared" ref="G714:G738" si="52">"pUmem_Sta_TBD_"&amp;F714</f>
        <v>pUmem_Sta_TBD_427C</v>
      </c>
      <c r="H714" s="6"/>
      <c r="I714" s="7"/>
    </row>
    <row r="715" spans="2:9" ht="17.100000000000001" customHeight="1" x14ac:dyDescent="0.3">
      <c r="B715" s="19"/>
      <c r="C715" s="19"/>
      <c r="D715" s="4">
        <v>6</v>
      </c>
      <c r="E715" s="4">
        <v>17024</v>
      </c>
      <c r="F715" s="4" t="str">
        <f t="shared" si="51"/>
        <v>4280</v>
      </c>
      <c r="G715" s="6" t="str">
        <f t="shared" si="52"/>
        <v>pUmem_Sta_TBD_4280</v>
      </c>
      <c r="H715" s="6"/>
      <c r="I715" s="7"/>
    </row>
    <row r="716" spans="2:9" ht="17.100000000000001" customHeight="1" x14ac:dyDescent="0.3">
      <c r="B716" s="19"/>
      <c r="C716" s="19"/>
      <c r="D716" s="4">
        <v>7</v>
      </c>
      <c r="E716" s="4">
        <v>17028</v>
      </c>
      <c r="F716" s="4" t="str">
        <f t="shared" si="51"/>
        <v>4284</v>
      </c>
      <c r="G716" s="6" t="str">
        <f t="shared" si="52"/>
        <v>pUmem_Sta_TBD_4284</v>
      </c>
      <c r="H716" s="6"/>
      <c r="I716" s="7"/>
    </row>
    <row r="717" spans="2:9" ht="17.100000000000001" customHeight="1" x14ac:dyDescent="0.3">
      <c r="B717" s="19"/>
      <c r="C717" s="19"/>
      <c r="D717" s="4">
        <v>8</v>
      </c>
      <c r="E717" s="4">
        <v>17032</v>
      </c>
      <c r="F717" s="4" t="str">
        <f t="shared" si="51"/>
        <v>4288</v>
      </c>
      <c r="G717" s="6" t="str">
        <f t="shared" si="52"/>
        <v>pUmem_Sta_TBD_4288</v>
      </c>
      <c r="H717" s="6"/>
      <c r="I717" s="7"/>
    </row>
    <row r="718" spans="2:9" ht="17.100000000000001" customHeight="1" x14ac:dyDescent="0.3">
      <c r="B718" s="19"/>
      <c r="C718" s="19"/>
      <c r="D718" s="4">
        <v>9</v>
      </c>
      <c r="E718" s="4">
        <v>17036</v>
      </c>
      <c r="F718" s="4" t="str">
        <f t="shared" si="51"/>
        <v>428C</v>
      </c>
      <c r="G718" s="6" t="str">
        <f t="shared" si="52"/>
        <v>pUmem_Sta_TBD_428C</v>
      </c>
      <c r="H718" s="6"/>
      <c r="I718" s="7"/>
    </row>
    <row r="719" spans="2:9" ht="17.100000000000001" customHeight="1" x14ac:dyDescent="0.3">
      <c r="B719" s="19"/>
      <c r="C719" s="19"/>
      <c r="D719" s="4">
        <v>10</v>
      </c>
      <c r="E719" s="4">
        <v>17040</v>
      </c>
      <c r="F719" s="4" t="str">
        <f t="shared" si="51"/>
        <v>4290</v>
      </c>
      <c r="G719" s="6" t="str">
        <f t="shared" si="52"/>
        <v>pUmem_Sta_TBD_4290</v>
      </c>
      <c r="H719" s="6"/>
      <c r="I719" s="7"/>
    </row>
    <row r="720" spans="2:9" ht="17.100000000000001" customHeight="1" x14ac:dyDescent="0.3">
      <c r="B720" s="19"/>
      <c r="C720" s="19"/>
      <c r="D720" s="4">
        <v>11</v>
      </c>
      <c r="E720" s="4">
        <v>17044</v>
      </c>
      <c r="F720" s="4" t="str">
        <f t="shared" si="51"/>
        <v>4294</v>
      </c>
      <c r="G720" s="6" t="str">
        <f t="shared" si="52"/>
        <v>pUmem_Sta_TBD_4294</v>
      </c>
      <c r="H720" s="6"/>
      <c r="I720" s="7"/>
    </row>
    <row r="721" spans="2:9" ht="17.100000000000001" customHeight="1" x14ac:dyDescent="0.3">
      <c r="B721" s="19"/>
      <c r="C721" s="19"/>
      <c r="D721" s="4">
        <v>12</v>
      </c>
      <c r="E721" s="4">
        <v>17048</v>
      </c>
      <c r="F721" s="4" t="str">
        <f t="shared" si="51"/>
        <v>4298</v>
      </c>
      <c r="G721" s="6" t="str">
        <f t="shared" si="52"/>
        <v>pUmem_Sta_TBD_4298</v>
      </c>
      <c r="H721" s="6"/>
      <c r="I721" s="7"/>
    </row>
    <row r="722" spans="2:9" ht="17.100000000000001" customHeight="1" x14ac:dyDescent="0.3">
      <c r="B722" s="19"/>
      <c r="C722" s="19"/>
      <c r="D722" s="4">
        <v>13</v>
      </c>
      <c r="E722" s="4">
        <v>17052</v>
      </c>
      <c r="F722" s="4" t="str">
        <f t="shared" si="51"/>
        <v>429C</v>
      </c>
      <c r="G722" s="6" t="str">
        <f t="shared" si="52"/>
        <v>pUmem_Sta_TBD_429C</v>
      </c>
      <c r="H722" s="6"/>
      <c r="I722" s="7"/>
    </row>
    <row r="723" spans="2:9" ht="17.100000000000001" customHeight="1" x14ac:dyDescent="0.3">
      <c r="B723" s="19"/>
      <c r="C723" s="19"/>
      <c r="D723" s="4">
        <v>14</v>
      </c>
      <c r="E723" s="4">
        <v>17056</v>
      </c>
      <c r="F723" s="4" t="str">
        <f t="shared" si="51"/>
        <v>42A0</v>
      </c>
      <c r="G723" s="6" t="str">
        <f t="shared" si="52"/>
        <v>pUmem_Sta_TBD_42A0</v>
      </c>
      <c r="H723" s="6"/>
      <c r="I723" s="7"/>
    </row>
    <row r="724" spans="2:9" ht="17.100000000000001" customHeight="1" x14ac:dyDescent="0.3">
      <c r="B724" s="19"/>
      <c r="C724" s="19"/>
      <c r="D724" s="4">
        <v>15</v>
      </c>
      <c r="E724" s="4">
        <v>17060</v>
      </c>
      <c r="F724" s="4" t="str">
        <f t="shared" si="51"/>
        <v>42A4</v>
      </c>
      <c r="G724" s="6" t="str">
        <f t="shared" si="52"/>
        <v>pUmem_Sta_TBD_42A4</v>
      </c>
      <c r="H724" s="6"/>
      <c r="I724" s="7"/>
    </row>
    <row r="725" spans="2:9" ht="17.100000000000001" customHeight="1" x14ac:dyDescent="0.3">
      <c r="B725" s="19"/>
      <c r="C725" s="19"/>
      <c r="D725" s="4">
        <v>16</v>
      </c>
      <c r="E725" s="4">
        <v>17064</v>
      </c>
      <c r="F725" s="4" t="str">
        <f t="shared" si="51"/>
        <v>42A8</v>
      </c>
      <c r="G725" s="6" t="str">
        <f t="shared" si="52"/>
        <v>pUmem_Sta_TBD_42A8</v>
      </c>
      <c r="H725" s="6"/>
      <c r="I725" s="7"/>
    </row>
    <row r="726" spans="2:9" ht="17.100000000000001" customHeight="1" x14ac:dyDescent="0.3">
      <c r="B726" s="19"/>
      <c r="C726" s="19"/>
      <c r="D726" s="4">
        <v>17</v>
      </c>
      <c r="E726" s="4">
        <v>17068</v>
      </c>
      <c r="F726" s="4" t="str">
        <f t="shared" si="51"/>
        <v>42AC</v>
      </c>
      <c r="G726" s="6" t="str">
        <f t="shared" si="52"/>
        <v>pUmem_Sta_TBD_42AC</v>
      </c>
      <c r="H726" s="6"/>
      <c r="I726" s="7"/>
    </row>
    <row r="727" spans="2:9" ht="17.100000000000001" customHeight="1" x14ac:dyDescent="0.3">
      <c r="B727" s="19"/>
      <c r="C727" s="19"/>
      <c r="D727" s="4">
        <v>18</v>
      </c>
      <c r="E727" s="4">
        <v>17072</v>
      </c>
      <c r="F727" s="4" t="str">
        <f t="shared" si="51"/>
        <v>42B0</v>
      </c>
      <c r="G727" s="6" t="str">
        <f t="shared" si="52"/>
        <v>pUmem_Sta_TBD_42B0</v>
      </c>
      <c r="H727" s="6"/>
      <c r="I727" s="7"/>
    </row>
    <row r="728" spans="2:9" ht="17.100000000000001" customHeight="1" x14ac:dyDescent="0.3">
      <c r="B728" s="19"/>
      <c r="C728" s="19"/>
      <c r="D728" s="4">
        <v>19</v>
      </c>
      <c r="E728" s="4">
        <v>17076</v>
      </c>
      <c r="F728" s="4" t="str">
        <f t="shared" si="51"/>
        <v>42B4</v>
      </c>
      <c r="G728" s="6" t="str">
        <f t="shared" si="52"/>
        <v>pUmem_Sta_TBD_42B4</v>
      </c>
      <c r="H728" s="6"/>
      <c r="I728" s="7"/>
    </row>
    <row r="729" spans="2:9" ht="17.100000000000001" customHeight="1" x14ac:dyDescent="0.3">
      <c r="B729" s="19"/>
      <c r="C729" s="19"/>
      <c r="D729" s="4">
        <v>20</v>
      </c>
      <c r="E729" s="4">
        <v>17080</v>
      </c>
      <c r="F729" s="4" t="str">
        <f t="shared" si="51"/>
        <v>42B8</v>
      </c>
      <c r="G729" s="6" t="str">
        <f t="shared" si="52"/>
        <v>pUmem_Sta_TBD_42B8</v>
      </c>
      <c r="H729" s="6"/>
      <c r="I729" s="7"/>
    </row>
    <row r="730" spans="2:9" ht="17.100000000000001" customHeight="1" x14ac:dyDescent="0.3">
      <c r="B730" s="19"/>
      <c r="C730" s="19"/>
      <c r="D730" s="4">
        <v>21</v>
      </c>
      <c r="E730" s="4">
        <v>17084</v>
      </c>
      <c r="F730" s="4" t="str">
        <f t="shared" si="51"/>
        <v>42BC</v>
      </c>
      <c r="G730" s="6" t="str">
        <f t="shared" si="52"/>
        <v>pUmem_Sta_TBD_42BC</v>
      </c>
      <c r="H730" s="6"/>
      <c r="I730" s="7"/>
    </row>
    <row r="731" spans="2:9" ht="17.100000000000001" customHeight="1" x14ac:dyDescent="0.3">
      <c r="B731" s="19"/>
      <c r="C731" s="19"/>
      <c r="D731" s="4">
        <v>22</v>
      </c>
      <c r="E731" s="4">
        <v>17088</v>
      </c>
      <c r="F731" s="4" t="str">
        <f t="shared" si="51"/>
        <v>42C0</v>
      </c>
      <c r="G731" s="6" t="str">
        <f t="shared" si="52"/>
        <v>pUmem_Sta_TBD_42C0</v>
      </c>
      <c r="H731" s="6"/>
      <c r="I731" s="7"/>
    </row>
    <row r="732" spans="2:9" ht="17.100000000000001" customHeight="1" x14ac:dyDescent="0.3">
      <c r="B732" s="19"/>
      <c r="C732" s="19"/>
      <c r="D732" s="4">
        <v>23</v>
      </c>
      <c r="E732" s="4">
        <v>17092</v>
      </c>
      <c r="F732" s="4" t="str">
        <f t="shared" si="51"/>
        <v>42C4</v>
      </c>
      <c r="G732" s="6" t="str">
        <f t="shared" si="52"/>
        <v>pUmem_Sta_TBD_42C4</v>
      </c>
      <c r="H732" s="6"/>
      <c r="I732" s="7"/>
    </row>
    <row r="733" spans="2:9" ht="17.100000000000001" customHeight="1" x14ac:dyDescent="0.3">
      <c r="B733" s="19"/>
      <c r="C733" s="19"/>
      <c r="D733" s="4">
        <v>24</v>
      </c>
      <c r="E733" s="4">
        <v>17096</v>
      </c>
      <c r="F733" s="4" t="str">
        <f t="shared" si="51"/>
        <v>42C8</v>
      </c>
      <c r="G733" s="6" t="str">
        <f t="shared" si="52"/>
        <v>pUmem_Sta_TBD_42C8</v>
      </c>
      <c r="H733" s="6"/>
      <c r="I733" s="7"/>
    </row>
    <row r="734" spans="2:9" ht="17.100000000000001" customHeight="1" x14ac:dyDescent="0.3">
      <c r="B734" s="19"/>
      <c r="C734" s="19"/>
      <c r="D734" s="4">
        <v>25</v>
      </c>
      <c r="E734" s="4">
        <v>17100</v>
      </c>
      <c r="F734" s="4" t="str">
        <f t="shared" si="51"/>
        <v>42CC</v>
      </c>
      <c r="G734" s="6" t="str">
        <f t="shared" si="52"/>
        <v>pUmem_Sta_TBD_42CC</v>
      </c>
      <c r="H734" s="6"/>
      <c r="I734" s="7"/>
    </row>
    <row r="735" spans="2:9" ht="17.100000000000001" customHeight="1" x14ac:dyDescent="0.3">
      <c r="B735" s="19"/>
      <c r="C735" s="19"/>
      <c r="D735" s="4">
        <v>26</v>
      </c>
      <c r="E735" s="4">
        <v>17104</v>
      </c>
      <c r="F735" s="4" t="str">
        <f t="shared" si="51"/>
        <v>42D0</v>
      </c>
      <c r="G735" s="6" t="str">
        <f t="shared" si="52"/>
        <v>pUmem_Sta_TBD_42D0</v>
      </c>
      <c r="H735" s="6"/>
      <c r="I735" s="7"/>
    </row>
    <row r="736" spans="2:9" ht="17.100000000000001" customHeight="1" x14ac:dyDescent="0.3">
      <c r="B736" s="19"/>
      <c r="C736" s="19"/>
      <c r="D736" s="4">
        <v>27</v>
      </c>
      <c r="E736" s="4">
        <v>17108</v>
      </c>
      <c r="F736" s="4" t="str">
        <f t="shared" si="51"/>
        <v>42D4</v>
      </c>
      <c r="G736" s="6" t="str">
        <f t="shared" si="52"/>
        <v>pUmem_Sta_TBD_42D4</v>
      </c>
      <c r="H736" s="6"/>
      <c r="I736" s="7"/>
    </row>
    <row r="737" spans="2:9" ht="17.100000000000001" customHeight="1" x14ac:dyDescent="0.3">
      <c r="B737" s="19"/>
      <c r="C737" s="19"/>
      <c r="D737" s="4">
        <v>28</v>
      </c>
      <c r="E737" s="4">
        <v>17112</v>
      </c>
      <c r="F737" s="4" t="str">
        <f t="shared" si="51"/>
        <v>42D8</v>
      </c>
      <c r="G737" s="6" t="str">
        <f t="shared" si="52"/>
        <v>pUmem_Sta_TBD_42D8</v>
      </c>
      <c r="H737" s="6"/>
      <c r="I737" s="7"/>
    </row>
    <row r="738" spans="2:9" ht="17.100000000000001" customHeight="1" x14ac:dyDescent="0.3">
      <c r="B738" s="19"/>
      <c r="C738" s="19"/>
      <c r="D738" s="4">
        <v>29</v>
      </c>
      <c r="E738" s="4">
        <v>17116</v>
      </c>
      <c r="F738" s="4" t="str">
        <f t="shared" si="51"/>
        <v>42DC</v>
      </c>
      <c r="G738" s="6" t="str">
        <f t="shared" si="52"/>
        <v>pUmem_Sta_TBD_42DC</v>
      </c>
      <c r="H738" s="6"/>
      <c r="I738" s="7"/>
    </row>
  </sheetData>
  <mergeCells count="37">
    <mergeCell ref="B709:C738"/>
    <mergeCell ref="B647:C676"/>
    <mergeCell ref="B678:C707"/>
    <mergeCell ref="C604:C623"/>
    <mergeCell ref="C624:C643"/>
    <mergeCell ref="B4:B643"/>
    <mergeCell ref="C504:C523"/>
    <mergeCell ref="C524:C543"/>
    <mergeCell ref="C544:C563"/>
    <mergeCell ref="C564:C583"/>
    <mergeCell ref="C584:C603"/>
    <mergeCell ref="C404:C423"/>
    <mergeCell ref="C424:C443"/>
    <mergeCell ref="C444:C463"/>
    <mergeCell ref="C464:C483"/>
    <mergeCell ref="C304:C323"/>
    <mergeCell ref="B3:C3"/>
    <mergeCell ref="C4:C23"/>
    <mergeCell ref="C24:C43"/>
    <mergeCell ref="C44:C63"/>
    <mergeCell ref="C64:C83"/>
    <mergeCell ref="C484:C503"/>
    <mergeCell ref="C164:C183"/>
    <mergeCell ref="C384:C403"/>
    <mergeCell ref="C84:C103"/>
    <mergeCell ref="C104:C123"/>
    <mergeCell ref="C124:C143"/>
    <mergeCell ref="C144:C163"/>
    <mergeCell ref="C284:C303"/>
    <mergeCell ref="C344:C363"/>
    <mergeCell ref="C364:C383"/>
    <mergeCell ref="C184:C203"/>
    <mergeCell ref="C204:C223"/>
    <mergeCell ref="C224:C243"/>
    <mergeCell ref="C244:C263"/>
    <mergeCell ref="C264:C283"/>
    <mergeCell ref="C324:C343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798"/>
  <sheetViews>
    <sheetView tabSelected="1" topLeftCell="A707" zoomScaleNormal="100" workbookViewId="0">
      <selection activeCell="G710" sqref="G710"/>
    </sheetView>
  </sheetViews>
  <sheetFormatPr defaultColWidth="8.625" defaultRowHeight="17.100000000000001" customHeight="1" x14ac:dyDescent="0.3"/>
  <cols>
    <col min="1" max="1" width="8.625" style="3"/>
    <col min="2" max="2" width="20.625" style="3" customWidth="1"/>
    <col min="3" max="3" width="11.25" style="3" bestFit="1" customWidth="1"/>
    <col min="4" max="4" width="4.5" style="3" bestFit="1" customWidth="1"/>
    <col min="5" max="6" width="13.875" style="3" bestFit="1" customWidth="1"/>
    <col min="7" max="7" width="40.625" style="3" customWidth="1"/>
    <col min="8" max="8" width="50.625" style="3" customWidth="1"/>
    <col min="9" max="9" width="15.625" style="10" customWidth="1"/>
    <col min="10" max="10" width="16.875" style="3" bestFit="1" customWidth="1"/>
    <col min="11" max="16384" width="8.625" style="3"/>
  </cols>
  <sheetData>
    <row r="3" spans="2:9" ht="17.100000000000001" customHeight="1" x14ac:dyDescent="0.3">
      <c r="B3" s="18" t="s">
        <v>8</v>
      </c>
      <c r="C3" s="18"/>
      <c r="D3" s="2"/>
      <c r="E3" s="2" t="s">
        <v>11</v>
      </c>
      <c r="F3" s="2" t="s">
        <v>12</v>
      </c>
      <c r="G3" s="2" t="s">
        <v>1</v>
      </c>
      <c r="H3" s="2" t="s">
        <v>2</v>
      </c>
      <c r="I3" s="2" t="s">
        <v>3</v>
      </c>
    </row>
    <row r="4" spans="2:9" ht="17.100000000000001" customHeight="1" x14ac:dyDescent="0.3">
      <c r="B4" s="19" t="s">
        <v>13</v>
      </c>
      <c r="C4" s="17" t="s">
        <v>181</v>
      </c>
      <c r="D4" s="4">
        <v>0</v>
      </c>
      <c r="E4" s="4">
        <v>20000</v>
      </c>
      <c r="F4" s="4" t="str">
        <f t="shared" ref="F4:F5" si="0">DEC2HEX(E4)</f>
        <v>4E20</v>
      </c>
      <c r="G4" s="5" t="s">
        <v>87</v>
      </c>
      <c r="H4" s="5" t="s">
        <v>2073</v>
      </c>
      <c r="I4" s="4" t="s">
        <v>5</v>
      </c>
    </row>
    <row r="5" spans="2:9" ht="17.100000000000001" customHeight="1" x14ac:dyDescent="0.3">
      <c r="B5" s="19"/>
      <c r="C5" s="17"/>
      <c r="D5" s="4">
        <v>1</v>
      </c>
      <c r="E5" s="4">
        <v>20004</v>
      </c>
      <c r="F5" s="4" t="str">
        <f t="shared" si="0"/>
        <v>4E24</v>
      </c>
      <c r="G5" s="5" t="s">
        <v>88</v>
      </c>
      <c r="H5" s="5" t="s">
        <v>2074</v>
      </c>
      <c r="I5" s="4" t="s">
        <v>5</v>
      </c>
    </row>
    <row r="6" spans="2:9" ht="17.100000000000001" customHeight="1" x14ac:dyDescent="0.3">
      <c r="B6" s="19"/>
      <c r="C6" s="17"/>
      <c r="D6" s="4">
        <v>2</v>
      </c>
      <c r="E6" s="4">
        <v>20008</v>
      </c>
      <c r="F6" s="4" t="str">
        <f t="shared" ref="F6:F8" si="1">DEC2HEX(E6)</f>
        <v>4E28</v>
      </c>
      <c r="G6" s="5" t="s">
        <v>89</v>
      </c>
      <c r="H6" s="5" t="s">
        <v>2075</v>
      </c>
      <c r="I6" s="4" t="s">
        <v>5</v>
      </c>
    </row>
    <row r="7" spans="2:9" ht="17.100000000000001" customHeight="1" x14ac:dyDescent="0.3">
      <c r="B7" s="19"/>
      <c r="C7" s="17"/>
      <c r="D7" s="4">
        <v>3</v>
      </c>
      <c r="E7" s="4">
        <v>20012</v>
      </c>
      <c r="F7" s="4" t="str">
        <f t="shared" si="1"/>
        <v>4E2C</v>
      </c>
      <c r="G7" s="5" t="s">
        <v>90</v>
      </c>
      <c r="H7" s="5" t="s">
        <v>2076</v>
      </c>
      <c r="I7" s="4" t="s">
        <v>5</v>
      </c>
    </row>
    <row r="8" spans="2:9" ht="17.100000000000001" customHeight="1" x14ac:dyDescent="0.3">
      <c r="B8" s="19"/>
      <c r="C8" s="17"/>
      <c r="D8" s="4">
        <v>4</v>
      </c>
      <c r="E8" s="4">
        <v>20016</v>
      </c>
      <c r="F8" s="4" t="str">
        <f t="shared" si="1"/>
        <v>4E30</v>
      </c>
      <c r="G8" s="5" t="s">
        <v>91</v>
      </c>
      <c r="H8" s="5" t="s">
        <v>2077</v>
      </c>
      <c r="I8" s="4" t="s">
        <v>14</v>
      </c>
    </row>
    <row r="9" spans="2:9" ht="17.100000000000001" customHeight="1" x14ac:dyDescent="0.3">
      <c r="B9" s="19"/>
      <c r="C9" s="17"/>
      <c r="D9" s="4">
        <v>5</v>
      </c>
      <c r="E9" s="4">
        <v>20020</v>
      </c>
      <c r="F9" s="4" t="str">
        <f t="shared" ref="F9:F72" si="2">DEC2HEX(E9)</f>
        <v>4E34</v>
      </c>
      <c r="G9" s="5" t="s">
        <v>92</v>
      </c>
      <c r="H9" s="5" t="s">
        <v>2078</v>
      </c>
      <c r="I9" s="4" t="s">
        <v>5</v>
      </c>
    </row>
    <row r="10" spans="2:9" ht="17.100000000000001" customHeight="1" x14ac:dyDescent="0.3">
      <c r="B10" s="19"/>
      <c r="C10" s="17"/>
      <c r="D10" s="4">
        <v>6</v>
      </c>
      <c r="E10" s="4">
        <v>20024</v>
      </c>
      <c r="F10" s="4" t="str">
        <f t="shared" si="2"/>
        <v>4E38</v>
      </c>
      <c r="G10" s="5" t="s">
        <v>93</v>
      </c>
      <c r="H10" s="5" t="s">
        <v>2079</v>
      </c>
      <c r="I10" s="4" t="s">
        <v>5</v>
      </c>
    </row>
    <row r="11" spans="2:9" ht="17.100000000000001" customHeight="1" x14ac:dyDescent="0.3">
      <c r="B11" s="19"/>
      <c r="C11" s="17"/>
      <c r="D11" s="4">
        <v>7</v>
      </c>
      <c r="E11" s="4">
        <v>20028</v>
      </c>
      <c r="F11" s="4" t="str">
        <f t="shared" si="2"/>
        <v>4E3C</v>
      </c>
      <c r="G11" s="5" t="s">
        <v>94</v>
      </c>
      <c r="H11" s="5" t="s">
        <v>2080</v>
      </c>
      <c r="I11" s="4" t="s">
        <v>5</v>
      </c>
    </row>
    <row r="12" spans="2:9" ht="17.100000000000001" customHeight="1" x14ac:dyDescent="0.3">
      <c r="B12" s="19"/>
      <c r="C12" s="17"/>
      <c r="D12" s="4">
        <v>8</v>
      </c>
      <c r="E12" s="4">
        <v>20032</v>
      </c>
      <c r="F12" s="4" t="str">
        <f t="shared" si="2"/>
        <v>4E40</v>
      </c>
      <c r="G12" s="5" t="s">
        <v>95</v>
      </c>
      <c r="H12" s="5" t="s">
        <v>2081</v>
      </c>
      <c r="I12" s="4" t="s">
        <v>5</v>
      </c>
    </row>
    <row r="13" spans="2:9" ht="17.100000000000001" customHeight="1" x14ac:dyDescent="0.3">
      <c r="B13" s="19"/>
      <c r="C13" s="17"/>
      <c r="D13" s="4">
        <v>9</v>
      </c>
      <c r="E13" s="4">
        <v>20036</v>
      </c>
      <c r="F13" s="4" t="str">
        <f t="shared" si="2"/>
        <v>4E44</v>
      </c>
      <c r="G13" s="5" t="s">
        <v>96</v>
      </c>
      <c r="H13" s="5" t="s">
        <v>2082</v>
      </c>
      <c r="I13" s="4" t="s">
        <v>5</v>
      </c>
    </row>
    <row r="14" spans="2:9" ht="17.100000000000001" customHeight="1" x14ac:dyDescent="0.3">
      <c r="B14" s="19"/>
      <c r="C14" s="17"/>
      <c r="D14" s="4">
        <v>10</v>
      </c>
      <c r="E14" s="4">
        <v>20040</v>
      </c>
      <c r="F14" s="4" t="str">
        <f t="shared" si="2"/>
        <v>4E48</v>
      </c>
      <c r="G14" s="5" t="s">
        <v>97</v>
      </c>
      <c r="H14" s="5" t="s">
        <v>2083</v>
      </c>
      <c r="I14" s="4" t="s">
        <v>14</v>
      </c>
    </row>
    <row r="15" spans="2:9" ht="17.100000000000001" customHeight="1" x14ac:dyDescent="0.3">
      <c r="B15" s="19"/>
      <c r="C15" s="17"/>
      <c r="D15" s="4">
        <v>11</v>
      </c>
      <c r="E15" s="4">
        <v>20044</v>
      </c>
      <c r="F15" s="4" t="str">
        <f t="shared" si="2"/>
        <v>4E4C</v>
      </c>
      <c r="G15" s="5" t="s">
        <v>98</v>
      </c>
      <c r="H15" s="5" t="s">
        <v>2084</v>
      </c>
      <c r="I15" s="4" t="s">
        <v>14</v>
      </c>
    </row>
    <row r="16" spans="2:9" ht="17.100000000000001" customHeight="1" x14ac:dyDescent="0.3">
      <c r="B16" s="19"/>
      <c r="C16" s="17"/>
      <c r="D16" s="4">
        <v>12</v>
      </c>
      <c r="E16" s="4">
        <v>20048</v>
      </c>
      <c r="F16" s="4" t="str">
        <f t="shared" si="2"/>
        <v>4E50</v>
      </c>
      <c r="G16" s="5" t="s">
        <v>99</v>
      </c>
      <c r="H16" s="5" t="s">
        <v>2085</v>
      </c>
      <c r="I16" s="4" t="s">
        <v>15</v>
      </c>
    </row>
    <row r="17" spans="2:9" ht="17.100000000000001" customHeight="1" x14ac:dyDescent="0.3">
      <c r="B17" s="19"/>
      <c r="C17" s="17"/>
      <c r="D17" s="4">
        <v>13</v>
      </c>
      <c r="E17" s="4">
        <v>20052</v>
      </c>
      <c r="F17" s="4" t="str">
        <f t="shared" si="2"/>
        <v>4E54</v>
      </c>
      <c r="G17" s="5" t="s">
        <v>100</v>
      </c>
      <c r="H17" s="5" t="s">
        <v>2086</v>
      </c>
      <c r="I17" s="4" t="s">
        <v>9</v>
      </c>
    </row>
    <row r="18" spans="2:9" ht="17.100000000000001" customHeight="1" x14ac:dyDescent="0.3">
      <c r="B18" s="19"/>
      <c r="C18" s="17"/>
      <c r="D18" s="4">
        <v>14</v>
      </c>
      <c r="E18" s="4">
        <v>20056</v>
      </c>
      <c r="F18" s="4" t="str">
        <f t="shared" si="2"/>
        <v>4E58</v>
      </c>
      <c r="G18" s="5" t="s">
        <v>101</v>
      </c>
      <c r="H18" s="5" t="s">
        <v>2087</v>
      </c>
      <c r="I18" s="4" t="s">
        <v>9</v>
      </c>
    </row>
    <row r="19" spans="2:9" ht="17.100000000000001" customHeight="1" x14ac:dyDescent="0.3">
      <c r="B19" s="19"/>
      <c r="C19" s="17"/>
      <c r="D19" s="4">
        <v>15</v>
      </c>
      <c r="E19" s="4">
        <v>20060</v>
      </c>
      <c r="F19" s="4" t="str">
        <f t="shared" si="2"/>
        <v>4E5C</v>
      </c>
      <c r="G19" s="6" t="str">
        <f>"pUmem_Cmd_TBD_"&amp;F19</f>
        <v>pUmem_Cmd_TBD_4E5C</v>
      </c>
      <c r="H19" s="6"/>
      <c r="I19" s="7"/>
    </row>
    <row r="20" spans="2:9" ht="17.100000000000001" customHeight="1" x14ac:dyDescent="0.3">
      <c r="B20" s="19"/>
      <c r="C20" s="17"/>
      <c r="D20" s="4">
        <v>16</v>
      </c>
      <c r="E20" s="4">
        <v>20064</v>
      </c>
      <c r="F20" s="4" t="str">
        <f t="shared" si="2"/>
        <v>4E60</v>
      </c>
      <c r="G20" s="6" t="str">
        <f t="shared" ref="G20:G22" si="3">"pUmem_Cmd_TBD_"&amp;F20</f>
        <v>pUmem_Cmd_TBD_4E60</v>
      </c>
      <c r="H20" s="6"/>
      <c r="I20" s="7"/>
    </row>
    <row r="21" spans="2:9" ht="17.100000000000001" customHeight="1" x14ac:dyDescent="0.3">
      <c r="B21" s="19"/>
      <c r="C21" s="17"/>
      <c r="D21" s="4">
        <v>17</v>
      </c>
      <c r="E21" s="4">
        <v>20068</v>
      </c>
      <c r="F21" s="4" t="str">
        <f t="shared" si="2"/>
        <v>4E64</v>
      </c>
      <c r="G21" s="6" t="str">
        <f t="shared" si="3"/>
        <v>pUmem_Cmd_TBD_4E64</v>
      </c>
      <c r="H21" s="6"/>
      <c r="I21" s="7"/>
    </row>
    <row r="22" spans="2:9" ht="17.100000000000001" customHeight="1" x14ac:dyDescent="0.3">
      <c r="B22" s="19"/>
      <c r="C22" s="17"/>
      <c r="D22" s="4">
        <v>18</v>
      </c>
      <c r="E22" s="4">
        <v>20072</v>
      </c>
      <c r="F22" s="4" t="str">
        <f t="shared" si="2"/>
        <v>4E68</v>
      </c>
      <c r="G22" s="6" t="str">
        <f t="shared" si="3"/>
        <v>pUmem_Cmd_TBD_4E68</v>
      </c>
      <c r="H22" s="6"/>
      <c r="I22" s="7"/>
    </row>
    <row r="23" spans="2:9" ht="17.100000000000001" customHeight="1" x14ac:dyDescent="0.3">
      <c r="B23" s="19"/>
      <c r="C23" s="17"/>
      <c r="D23" s="4">
        <v>19</v>
      </c>
      <c r="E23" s="4">
        <v>20076</v>
      </c>
      <c r="F23" s="4" t="str">
        <f t="shared" si="2"/>
        <v>4E6C</v>
      </c>
      <c r="G23" s="6" t="str">
        <f>"pUmem_Cmd_TBD_"&amp;F23</f>
        <v>pUmem_Cmd_TBD_4E6C</v>
      </c>
      <c r="H23" s="6"/>
      <c r="I23" s="7"/>
    </row>
    <row r="24" spans="2:9" ht="17.100000000000001" customHeight="1" x14ac:dyDescent="0.3">
      <c r="B24" s="19"/>
      <c r="C24" s="17" t="s">
        <v>182</v>
      </c>
      <c r="D24" s="4">
        <v>20</v>
      </c>
      <c r="E24" s="4">
        <v>20080</v>
      </c>
      <c r="F24" s="4" t="str">
        <f t="shared" si="2"/>
        <v>4E70</v>
      </c>
      <c r="G24" s="5" t="s">
        <v>102</v>
      </c>
      <c r="H24" s="5" t="s">
        <v>2073</v>
      </c>
      <c r="I24" s="4" t="s">
        <v>5</v>
      </c>
    </row>
    <row r="25" spans="2:9" ht="17.100000000000001" customHeight="1" x14ac:dyDescent="0.3">
      <c r="B25" s="19"/>
      <c r="C25" s="17"/>
      <c r="D25" s="4">
        <v>21</v>
      </c>
      <c r="E25" s="4">
        <v>20084</v>
      </c>
      <c r="F25" s="4" t="str">
        <f t="shared" si="2"/>
        <v>4E74</v>
      </c>
      <c r="G25" s="5" t="s">
        <v>103</v>
      </c>
      <c r="H25" s="5" t="s">
        <v>2074</v>
      </c>
      <c r="I25" s="4" t="s">
        <v>5</v>
      </c>
    </row>
    <row r="26" spans="2:9" ht="17.100000000000001" customHeight="1" x14ac:dyDescent="0.3">
      <c r="B26" s="19"/>
      <c r="C26" s="17"/>
      <c r="D26" s="4">
        <v>22</v>
      </c>
      <c r="E26" s="4">
        <v>20088</v>
      </c>
      <c r="F26" s="4" t="str">
        <f t="shared" si="2"/>
        <v>4E78</v>
      </c>
      <c r="G26" s="5" t="s">
        <v>104</v>
      </c>
      <c r="H26" s="5" t="s">
        <v>2075</v>
      </c>
      <c r="I26" s="4" t="s">
        <v>5</v>
      </c>
    </row>
    <row r="27" spans="2:9" ht="17.100000000000001" customHeight="1" x14ac:dyDescent="0.3">
      <c r="B27" s="19"/>
      <c r="C27" s="17"/>
      <c r="D27" s="4">
        <v>23</v>
      </c>
      <c r="E27" s="4">
        <v>20092</v>
      </c>
      <c r="F27" s="4" t="str">
        <f t="shared" si="2"/>
        <v>4E7C</v>
      </c>
      <c r="G27" s="5" t="s">
        <v>105</v>
      </c>
      <c r="H27" s="5" t="s">
        <v>2076</v>
      </c>
      <c r="I27" s="4" t="s">
        <v>5</v>
      </c>
    </row>
    <row r="28" spans="2:9" ht="17.100000000000001" customHeight="1" x14ac:dyDescent="0.3">
      <c r="B28" s="19"/>
      <c r="C28" s="17"/>
      <c r="D28" s="4">
        <v>24</v>
      </c>
      <c r="E28" s="4">
        <v>20096</v>
      </c>
      <c r="F28" s="4" t="str">
        <f t="shared" si="2"/>
        <v>4E80</v>
      </c>
      <c r="G28" s="5" t="s">
        <v>106</v>
      </c>
      <c r="H28" s="5" t="s">
        <v>2077</v>
      </c>
      <c r="I28" s="4" t="s">
        <v>14</v>
      </c>
    </row>
    <row r="29" spans="2:9" ht="17.100000000000001" customHeight="1" x14ac:dyDescent="0.3">
      <c r="B29" s="19"/>
      <c r="C29" s="17"/>
      <c r="D29" s="4">
        <v>25</v>
      </c>
      <c r="E29" s="4">
        <v>20100</v>
      </c>
      <c r="F29" s="4" t="str">
        <f t="shared" si="2"/>
        <v>4E84</v>
      </c>
      <c r="G29" s="5" t="s">
        <v>107</v>
      </c>
      <c r="H29" s="5" t="s">
        <v>2078</v>
      </c>
      <c r="I29" s="4" t="s">
        <v>5</v>
      </c>
    </row>
    <row r="30" spans="2:9" ht="17.100000000000001" customHeight="1" x14ac:dyDescent="0.3">
      <c r="B30" s="19"/>
      <c r="C30" s="17"/>
      <c r="D30" s="4">
        <v>26</v>
      </c>
      <c r="E30" s="4">
        <v>20104</v>
      </c>
      <c r="F30" s="4" t="str">
        <f t="shared" si="2"/>
        <v>4E88</v>
      </c>
      <c r="G30" s="5" t="s">
        <v>108</v>
      </c>
      <c r="H30" s="5" t="s">
        <v>2079</v>
      </c>
      <c r="I30" s="4" t="s">
        <v>5</v>
      </c>
    </row>
    <row r="31" spans="2:9" ht="17.100000000000001" customHeight="1" x14ac:dyDescent="0.3">
      <c r="B31" s="19"/>
      <c r="C31" s="17"/>
      <c r="D31" s="4">
        <v>27</v>
      </c>
      <c r="E31" s="4">
        <v>20108</v>
      </c>
      <c r="F31" s="4" t="str">
        <f t="shared" si="2"/>
        <v>4E8C</v>
      </c>
      <c r="G31" s="5" t="s">
        <v>109</v>
      </c>
      <c r="H31" s="5" t="s">
        <v>2080</v>
      </c>
      <c r="I31" s="4" t="s">
        <v>5</v>
      </c>
    </row>
    <row r="32" spans="2:9" ht="17.100000000000001" customHeight="1" x14ac:dyDescent="0.3">
      <c r="B32" s="19"/>
      <c r="C32" s="17"/>
      <c r="D32" s="4">
        <v>28</v>
      </c>
      <c r="E32" s="4">
        <v>20112</v>
      </c>
      <c r="F32" s="4" t="str">
        <f t="shared" si="2"/>
        <v>4E90</v>
      </c>
      <c r="G32" s="5" t="s">
        <v>110</v>
      </c>
      <c r="H32" s="5" t="s">
        <v>2081</v>
      </c>
      <c r="I32" s="4" t="s">
        <v>5</v>
      </c>
    </row>
    <row r="33" spans="2:9" ht="17.100000000000001" customHeight="1" x14ac:dyDescent="0.3">
      <c r="B33" s="19"/>
      <c r="C33" s="17"/>
      <c r="D33" s="4">
        <v>29</v>
      </c>
      <c r="E33" s="4">
        <v>20116</v>
      </c>
      <c r="F33" s="4" t="str">
        <f t="shared" si="2"/>
        <v>4E94</v>
      </c>
      <c r="G33" s="5" t="s">
        <v>111</v>
      </c>
      <c r="H33" s="5" t="s">
        <v>2082</v>
      </c>
      <c r="I33" s="4" t="s">
        <v>5</v>
      </c>
    </row>
    <row r="34" spans="2:9" ht="17.100000000000001" customHeight="1" x14ac:dyDescent="0.3">
      <c r="B34" s="19"/>
      <c r="C34" s="17"/>
      <c r="D34" s="4">
        <v>30</v>
      </c>
      <c r="E34" s="4">
        <v>20120</v>
      </c>
      <c r="F34" s="4" t="str">
        <f t="shared" si="2"/>
        <v>4E98</v>
      </c>
      <c r="G34" s="5" t="s">
        <v>112</v>
      </c>
      <c r="H34" s="5" t="s">
        <v>2083</v>
      </c>
      <c r="I34" s="4" t="s">
        <v>14</v>
      </c>
    </row>
    <row r="35" spans="2:9" ht="17.100000000000001" customHeight="1" x14ac:dyDescent="0.3">
      <c r="B35" s="19"/>
      <c r="C35" s="17"/>
      <c r="D35" s="4">
        <v>31</v>
      </c>
      <c r="E35" s="4">
        <v>20124</v>
      </c>
      <c r="F35" s="4" t="str">
        <f t="shared" si="2"/>
        <v>4E9C</v>
      </c>
      <c r="G35" s="5" t="s">
        <v>113</v>
      </c>
      <c r="H35" s="5" t="s">
        <v>2084</v>
      </c>
      <c r="I35" s="4" t="s">
        <v>14</v>
      </c>
    </row>
    <row r="36" spans="2:9" ht="17.100000000000001" customHeight="1" x14ac:dyDescent="0.3">
      <c r="B36" s="19"/>
      <c r="C36" s="17"/>
      <c r="D36" s="4">
        <v>32</v>
      </c>
      <c r="E36" s="4">
        <v>20128</v>
      </c>
      <c r="F36" s="4" t="str">
        <f t="shared" si="2"/>
        <v>4EA0</v>
      </c>
      <c r="G36" s="5" t="s">
        <v>114</v>
      </c>
      <c r="H36" s="5" t="s">
        <v>2085</v>
      </c>
      <c r="I36" s="4" t="s">
        <v>15</v>
      </c>
    </row>
    <row r="37" spans="2:9" ht="17.100000000000001" customHeight="1" x14ac:dyDescent="0.3">
      <c r="B37" s="19"/>
      <c r="C37" s="17"/>
      <c r="D37" s="4">
        <v>33</v>
      </c>
      <c r="E37" s="4">
        <v>20132</v>
      </c>
      <c r="F37" s="4" t="str">
        <f t="shared" si="2"/>
        <v>4EA4</v>
      </c>
      <c r="G37" s="5" t="s">
        <v>115</v>
      </c>
      <c r="H37" s="5" t="s">
        <v>2086</v>
      </c>
      <c r="I37" s="4" t="s">
        <v>9</v>
      </c>
    </row>
    <row r="38" spans="2:9" ht="17.100000000000001" customHeight="1" x14ac:dyDescent="0.3">
      <c r="B38" s="19"/>
      <c r="C38" s="17"/>
      <c r="D38" s="4">
        <v>34</v>
      </c>
      <c r="E38" s="4">
        <v>20136</v>
      </c>
      <c r="F38" s="4" t="str">
        <f t="shared" si="2"/>
        <v>4EA8</v>
      </c>
      <c r="G38" s="5" t="s">
        <v>116</v>
      </c>
      <c r="H38" s="5" t="s">
        <v>2087</v>
      </c>
      <c r="I38" s="4" t="s">
        <v>9</v>
      </c>
    </row>
    <row r="39" spans="2:9" ht="17.100000000000001" customHeight="1" x14ac:dyDescent="0.3">
      <c r="B39" s="19"/>
      <c r="C39" s="17"/>
      <c r="D39" s="4">
        <v>35</v>
      </c>
      <c r="E39" s="4">
        <v>20140</v>
      </c>
      <c r="F39" s="4" t="str">
        <f t="shared" si="2"/>
        <v>4EAC</v>
      </c>
      <c r="G39" s="6" t="str">
        <f>"pUmem_Cmd_TBD_"&amp;F39</f>
        <v>pUmem_Cmd_TBD_4EAC</v>
      </c>
      <c r="H39" s="6"/>
      <c r="I39" s="7"/>
    </row>
    <row r="40" spans="2:9" ht="17.100000000000001" customHeight="1" x14ac:dyDescent="0.3">
      <c r="B40" s="19"/>
      <c r="C40" s="17"/>
      <c r="D40" s="4">
        <v>36</v>
      </c>
      <c r="E40" s="4">
        <v>20144</v>
      </c>
      <c r="F40" s="4" t="str">
        <f t="shared" si="2"/>
        <v>4EB0</v>
      </c>
      <c r="G40" s="6" t="str">
        <f t="shared" ref="G40:G42" si="4">"pUmem_Cmd_TBD_"&amp;F40</f>
        <v>pUmem_Cmd_TBD_4EB0</v>
      </c>
      <c r="H40" s="6"/>
      <c r="I40" s="7"/>
    </row>
    <row r="41" spans="2:9" ht="17.100000000000001" customHeight="1" x14ac:dyDescent="0.3">
      <c r="B41" s="19"/>
      <c r="C41" s="17"/>
      <c r="D41" s="4">
        <v>37</v>
      </c>
      <c r="E41" s="4">
        <v>20148</v>
      </c>
      <c r="F41" s="4" t="str">
        <f t="shared" si="2"/>
        <v>4EB4</v>
      </c>
      <c r="G41" s="6" t="str">
        <f t="shared" si="4"/>
        <v>pUmem_Cmd_TBD_4EB4</v>
      </c>
      <c r="H41" s="6"/>
      <c r="I41" s="7"/>
    </row>
    <row r="42" spans="2:9" ht="17.100000000000001" customHeight="1" x14ac:dyDescent="0.3">
      <c r="B42" s="19"/>
      <c r="C42" s="17"/>
      <c r="D42" s="4">
        <v>38</v>
      </c>
      <c r="E42" s="4">
        <v>20152</v>
      </c>
      <c r="F42" s="4" t="str">
        <f t="shared" si="2"/>
        <v>4EB8</v>
      </c>
      <c r="G42" s="6" t="str">
        <f t="shared" si="4"/>
        <v>pUmem_Cmd_TBD_4EB8</v>
      </c>
      <c r="H42" s="6"/>
      <c r="I42" s="7"/>
    </row>
    <row r="43" spans="2:9" ht="17.100000000000001" customHeight="1" x14ac:dyDescent="0.3">
      <c r="B43" s="19"/>
      <c r="C43" s="17"/>
      <c r="D43" s="4">
        <v>39</v>
      </c>
      <c r="E43" s="4">
        <v>20156</v>
      </c>
      <c r="F43" s="4" t="str">
        <f t="shared" si="2"/>
        <v>4EBC</v>
      </c>
      <c r="G43" s="6" t="str">
        <f>"pUmem_Cmd_TBD_"&amp;F43</f>
        <v>pUmem_Cmd_TBD_4EBC</v>
      </c>
      <c r="H43" s="6"/>
      <c r="I43" s="7"/>
    </row>
    <row r="44" spans="2:9" ht="17.100000000000001" customHeight="1" x14ac:dyDescent="0.3">
      <c r="B44" s="19"/>
      <c r="C44" s="17" t="s">
        <v>183</v>
      </c>
      <c r="D44" s="4">
        <v>40</v>
      </c>
      <c r="E44" s="4">
        <v>20160</v>
      </c>
      <c r="F44" s="4" t="str">
        <f t="shared" si="2"/>
        <v>4EC0</v>
      </c>
      <c r="G44" s="5" t="s">
        <v>117</v>
      </c>
      <c r="H44" s="5" t="s">
        <v>2073</v>
      </c>
      <c r="I44" s="4" t="s">
        <v>5</v>
      </c>
    </row>
    <row r="45" spans="2:9" ht="17.100000000000001" customHeight="1" x14ac:dyDescent="0.3">
      <c r="B45" s="19"/>
      <c r="C45" s="17"/>
      <c r="D45" s="4">
        <v>41</v>
      </c>
      <c r="E45" s="4">
        <v>20164</v>
      </c>
      <c r="F45" s="4" t="str">
        <f t="shared" si="2"/>
        <v>4EC4</v>
      </c>
      <c r="G45" s="5" t="s">
        <v>118</v>
      </c>
      <c r="H45" s="5" t="s">
        <v>2074</v>
      </c>
      <c r="I45" s="4" t="s">
        <v>5</v>
      </c>
    </row>
    <row r="46" spans="2:9" ht="17.100000000000001" customHeight="1" x14ac:dyDescent="0.3">
      <c r="B46" s="19"/>
      <c r="C46" s="17"/>
      <c r="D46" s="4">
        <v>42</v>
      </c>
      <c r="E46" s="4">
        <v>20168</v>
      </c>
      <c r="F46" s="4" t="str">
        <f t="shared" si="2"/>
        <v>4EC8</v>
      </c>
      <c r="G46" s="5" t="s">
        <v>119</v>
      </c>
      <c r="H46" s="5" t="s">
        <v>2075</v>
      </c>
      <c r="I46" s="4" t="s">
        <v>5</v>
      </c>
    </row>
    <row r="47" spans="2:9" ht="17.100000000000001" customHeight="1" x14ac:dyDescent="0.3">
      <c r="B47" s="19"/>
      <c r="C47" s="17"/>
      <c r="D47" s="4">
        <v>43</v>
      </c>
      <c r="E47" s="4">
        <v>20172</v>
      </c>
      <c r="F47" s="4" t="str">
        <f t="shared" si="2"/>
        <v>4ECC</v>
      </c>
      <c r="G47" s="5" t="s">
        <v>120</v>
      </c>
      <c r="H47" s="5" t="s">
        <v>2076</v>
      </c>
      <c r="I47" s="4" t="s">
        <v>5</v>
      </c>
    </row>
    <row r="48" spans="2:9" ht="17.100000000000001" customHeight="1" x14ac:dyDescent="0.3">
      <c r="B48" s="19"/>
      <c r="C48" s="17"/>
      <c r="D48" s="4">
        <v>44</v>
      </c>
      <c r="E48" s="4">
        <v>20176</v>
      </c>
      <c r="F48" s="4" t="str">
        <f t="shared" si="2"/>
        <v>4ED0</v>
      </c>
      <c r="G48" s="5" t="s">
        <v>121</v>
      </c>
      <c r="H48" s="5" t="s">
        <v>2077</v>
      </c>
      <c r="I48" s="4" t="s">
        <v>14</v>
      </c>
    </row>
    <row r="49" spans="2:9" ht="17.100000000000001" customHeight="1" x14ac:dyDescent="0.3">
      <c r="B49" s="19"/>
      <c r="C49" s="17"/>
      <c r="D49" s="4">
        <v>45</v>
      </c>
      <c r="E49" s="4">
        <v>20180</v>
      </c>
      <c r="F49" s="4" t="str">
        <f t="shared" si="2"/>
        <v>4ED4</v>
      </c>
      <c r="G49" s="5" t="s">
        <v>122</v>
      </c>
      <c r="H49" s="5" t="s">
        <v>2078</v>
      </c>
      <c r="I49" s="4" t="s">
        <v>5</v>
      </c>
    </row>
    <row r="50" spans="2:9" ht="17.100000000000001" customHeight="1" x14ac:dyDescent="0.3">
      <c r="B50" s="19"/>
      <c r="C50" s="17"/>
      <c r="D50" s="4">
        <v>46</v>
      </c>
      <c r="E50" s="4">
        <v>20184</v>
      </c>
      <c r="F50" s="4" t="str">
        <f t="shared" si="2"/>
        <v>4ED8</v>
      </c>
      <c r="G50" s="5" t="s">
        <v>123</v>
      </c>
      <c r="H50" s="5" t="s">
        <v>2079</v>
      </c>
      <c r="I50" s="4" t="s">
        <v>5</v>
      </c>
    </row>
    <row r="51" spans="2:9" ht="17.100000000000001" customHeight="1" x14ac:dyDescent="0.3">
      <c r="B51" s="19"/>
      <c r="C51" s="17"/>
      <c r="D51" s="4">
        <v>47</v>
      </c>
      <c r="E51" s="4">
        <v>20188</v>
      </c>
      <c r="F51" s="4" t="str">
        <f t="shared" si="2"/>
        <v>4EDC</v>
      </c>
      <c r="G51" s="5" t="s">
        <v>124</v>
      </c>
      <c r="H51" s="5" t="s">
        <v>2080</v>
      </c>
      <c r="I51" s="4" t="s">
        <v>5</v>
      </c>
    </row>
    <row r="52" spans="2:9" ht="17.100000000000001" customHeight="1" x14ac:dyDescent="0.3">
      <c r="B52" s="19"/>
      <c r="C52" s="17"/>
      <c r="D52" s="4">
        <v>48</v>
      </c>
      <c r="E52" s="4">
        <v>20192</v>
      </c>
      <c r="F52" s="4" t="str">
        <f t="shared" si="2"/>
        <v>4EE0</v>
      </c>
      <c r="G52" s="5" t="s">
        <v>125</v>
      </c>
      <c r="H52" s="5" t="s">
        <v>2081</v>
      </c>
      <c r="I52" s="4" t="s">
        <v>5</v>
      </c>
    </row>
    <row r="53" spans="2:9" ht="17.100000000000001" customHeight="1" x14ac:dyDescent="0.3">
      <c r="B53" s="19"/>
      <c r="C53" s="17"/>
      <c r="D53" s="4">
        <v>49</v>
      </c>
      <c r="E53" s="4">
        <v>20196</v>
      </c>
      <c r="F53" s="4" t="str">
        <f t="shared" si="2"/>
        <v>4EE4</v>
      </c>
      <c r="G53" s="5" t="s">
        <v>126</v>
      </c>
      <c r="H53" s="5" t="s">
        <v>2082</v>
      </c>
      <c r="I53" s="4" t="s">
        <v>5</v>
      </c>
    </row>
    <row r="54" spans="2:9" ht="17.100000000000001" customHeight="1" x14ac:dyDescent="0.3">
      <c r="B54" s="19"/>
      <c r="C54" s="17"/>
      <c r="D54" s="4">
        <v>50</v>
      </c>
      <c r="E54" s="4">
        <v>20200</v>
      </c>
      <c r="F54" s="4" t="str">
        <f t="shared" si="2"/>
        <v>4EE8</v>
      </c>
      <c r="G54" s="5" t="s">
        <v>127</v>
      </c>
      <c r="H54" s="5" t="s">
        <v>2083</v>
      </c>
      <c r="I54" s="4" t="s">
        <v>14</v>
      </c>
    </row>
    <row r="55" spans="2:9" ht="17.100000000000001" customHeight="1" x14ac:dyDescent="0.3">
      <c r="B55" s="19"/>
      <c r="C55" s="17"/>
      <c r="D55" s="4">
        <v>51</v>
      </c>
      <c r="E55" s="4">
        <v>20204</v>
      </c>
      <c r="F55" s="4" t="str">
        <f t="shared" si="2"/>
        <v>4EEC</v>
      </c>
      <c r="G55" s="5" t="s">
        <v>128</v>
      </c>
      <c r="H55" s="5" t="s">
        <v>2084</v>
      </c>
      <c r="I55" s="4" t="s">
        <v>14</v>
      </c>
    </row>
    <row r="56" spans="2:9" ht="17.100000000000001" customHeight="1" x14ac:dyDescent="0.3">
      <c r="B56" s="19"/>
      <c r="C56" s="17"/>
      <c r="D56" s="4">
        <v>52</v>
      </c>
      <c r="E56" s="4">
        <v>20208</v>
      </c>
      <c r="F56" s="4" t="str">
        <f t="shared" si="2"/>
        <v>4EF0</v>
      </c>
      <c r="G56" s="5" t="s">
        <v>129</v>
      </c>
      <c r="H56" s="5" t="s">
        <v>2085</v>
      </c>
      <c r="I56" s="4" t="s">
        <v>15</v>
      </c>
    </row>
    <row r="57" spans="2:9" ht="17.100000000000001" customHeight="1" x14ac:dyDescent="0.3">
      <c r="B57" s="19"/>
      <c r="C57" s="17"/>
      <c r="D57" s="4">
        <v>53</v>
      </c>
      <c r="E57" s="4">
        <v>20212</v>
      </c>
      <c r="F57" s="4" t="str">
        <f t="shared" si="2"/>
        <v>4EF4</v>
      </c>
      <c r="G57" s="5" t="s">
        <v>130</v>
      </c>
      <c r="H57" s="5" t="s">
        <v>2086</v>
      </c>
      <c r="I57" s="4" t="s">
        <v>9</v>
      </c>
    </row>
    <row r="58" spans="2:9" ht="17.100000000000001" customHeight="1" x14ac:dyDescent="0.3">
      <c r="B58" s="19"/>
      <c r="C58" s="17"/>
      <c r="D58" s="4">
        <v>54</v>
      </c>
      <c r="E58" s="4">
        <v>20216</v>
      </c>
      <c r="F58" s="4" t="str">
        <f t="shared" si="2"/>
        <v>4EF8</v>
      </c>
      <c r="G58" s="5" t="s">
        <v>131</v>
      </c>
      <c r="H58" s="5" t="s">
        <v>2087</v>
      </c>
      <c r="I58" s="4" t="s">
        <v>9</v>
      </c>
    </row>
    <row r="59" spans="2:9" ht="17.100000000000001" customHeight="1" x14ac:dyDescent="0.3">
      <c r="B59" s="19"/>
      <c r="C59" s="17"/>
      <c r="D59" s="4">
        <v>55</v>
      </c>
      <c r="E59" s="4">
        <v>20220</v>
      </c>
      <c r="F59" s="4" t="str">
        <f t="shared" si="2"/>
        <v>4EFC</v>
      </c>
      <c r="G59" s="6" t="str">
        <f>"pUmem_Cmd_TBD_"&amp;F59</f>
        <v>pUmem_Cmd_TBD_4EFC</v>
      </c>
      <c r="H59" s="6"/>
      <c r="I59" s="7"/>
    </row>
    <row r="60" spans="2:9" ht="17.100000000000001" customHeight="1" x14ac:dyDescent="0.3">
      <c r="B60" s="19"/>
      <c r="C60" s="17"/>
      <c r="D60" s="4">
        <v>56</v>
      </c>
      <c r="E60" s="4">
        <v>20224</v>
      </c>
      <c r="F60" s="4" t="str">
        <f t="shared" si="2"/>
        <v>4F00</v>
      </c>
      <c r="G60" s="6" t="str">
        <f t="shared" ref="G60:G62" si="5">"pUmem_Cmd_TBD_"&amp;F60</f>
        <v>pUmem_Cmd_TBD_4F00</v>
      </c>
      <c r="H60" s="6"/>
      <c r="I60" s="7"/>
    </row>
    <row r="61" spans="2:9" ht="17.100000000000001" customHeight="1" x14ac:dyDescent="0.3">
      <c r="B61" s="19"/>
      <c r="C61" s="17"/>
      <c r="D61" s="4">
        <v>57</v>
      </c>
      <c r="E61" s="4">
        <v>20228</v>
      </c>
      <c r="F61" s="4" t="str">
        <f t="shared" si="2"/>
        <v>4F04</v>
      </c>
      <c r="G61" s="6" t="str">
        <f t="shared" si="5"/>
        <v>pUmem_Cmd_TBD_4F04</v>
      </c>
      <c r="H61" s="6"/>
      <c r="I61" s="7"/>
    </row>
    <row r="62" spans="2:9" ht="17.100000000000001" customHeight="1" x14ac:dyDescent="0.3">
      <c r="B62" s="19"/>
      <c r="C62" s="17"/>
      <c r="D62" s="4">
        <v>58</v>
      </c>
      <c r="E62" s="4">
        <v>20232</v>
      </c>
      <c r="F62" s="4" t="str">
        <f t="shared" si="2"/>
        <v>4F08</v>
      </c>
      <c r="G62" s="6" t="str">
        <f t="shared" si="5"/>
        <v>pUmem_Cmd_TBD_4F08</v>
      </c>
      <c r="H62" s="6"/>
      <c r="I62" s="7"/>
    </row>
    <row r="63" spans="2:9" ht="17.100000000000001" customHeight="1" x14ac:dyDescent="0.3">
      <c r="B63" s="19"/>
      <c r="C63" s="17"/>
      <c r="D63" s="4">
        <v>59</v>
      </c>
      <c r="E63" s="4">
        <v>20236</v>
      </c>
      <c r="F63" s="4" t="str">
        <f t="shared" si="2"/>
        <v>4F0C</v>
      </c>
      <c r="G63" s="6" t="str">
        <f>"pUmem_Cmd_TBD_"&amp;F63</f>
        <v>pUmem_Cmd_TBD_4F0C</v>
      </c>
      <c r="H63" s="6"/>
      <c r="I63" s="7"/>
    </row>
    <row r="64" spans="2:9" ht="17.100000000000001" customHeight="1" x14ac:dyDescent="0.3">
      <c r="B64" s="19"/>
      <c r="C64" s="17" t="s">
        <v>184</v>
      </c>
      <c r="D64" s="4">
        <v>60</v>
      </c>
      <c r="E64" s="4">
        <v>20240</v>
      </c>
      <c r="F64" s="4" t="str">
        <f t="shared" si="2"/>
        <v>4F10</v>
      </c>
      <c r="G64" s="5" t="s">
        <v>132</v>
      </c>
      <c r="H64" s="5" t="s">
        <v>2073</v>
      </c>
      <c r="I64" s="4" t="s">
        <v>5</v>
      </c>
    </row>
    <row r="65" spans="2:10" ht="17.100000000000001" customHeight="1" x14ac:dyDescent="0.3">
      <c r="B65" s="19"/>
      <c r="C65" s="17"/>
      <c r="D65" s="4">
        <v>61</v>
      </c>
      <c r="E65" s="4">
        <v>20244</v>
      </c>
      <c r="F65" s="4" t="str">
        <f t="shared" si="2"/>
        <v>4F14</v>
      </c>
      <c r="G65" s="5" t="s">
        <v>133</v>
      </c>
      <c r="H65" s="5" t="s">
        <v>2074</v>
      </c>
      <c r="I65" s="4" t="s">
        <v>5</v>
      </c>
    </row>
    <row r="66" spans="2:10" ht="17.100000000000001" customHeight="1" x14ac:dyDescent="0.3">
      <c r="B66" s="19"/>
      <c r="C66" s="17"/>
      <c r="D66" s="4">
        <v>62</v>
      </c>
      <c r="E66" s="4">
        <v>20248</v>
      </c>
      <c r="F66" s="4" t="str">
        <f t="shared" si="2"/>
        <v>4F18</v>
      </c>
      <c r="G66" s="5" t="s">
        <v>134</v>
      </c>
      <c r="H66" s="5" t="s">
        <v>2075</v>
      </c>
      <c r="I66" s="4" t="s">
        <v>5</v>
      </c>
    </row>
    <row r="67" spans="2:10" ht="17.100000000000001" customHeight="1" x14ac:dyDescent="0.3">
      <c r="B67" s="19"/>
      <c r="C67" s="17"/>
      <c r="D67" s="4">
        <v>63</v>
      </c>
      <c r="E67" s="4">
        <v>20252</v>
      </c>
      <c r="F67" s="4" t="str">
        <f t="shared" si="2"/>
        <v>4F1C</v>
      </c>
      <c r="G67" s="5" t="s">
        <v>135</v>
      </c>
      <c r="H67" s="5" t="s">
        <v>2076</v>
      </c>
      <c r="I67" s="4" t="s">
        <v>5</v>
      </c>
    </row>
    <row r="68" spans="2:10" ht="17.100000000000001" customHeight="1" x14ac:dyDescent="0.3">
      <c r="B68" s="19"/>
      <c r="C68" s="17"/>
      <c r="D68" s="4">
        <v>64</v>
      </c>
      <c r="E68" s="4">
        <v>20256</v>
      </c>
      <c r="F68" s="4" t="str">
        <f t="shared" si="2"/>
        <v>4F20</v>
      </c>
      <c r="G68" s="5" t="s">
        <v>136</v>
      </c>
      <c r="H68" s="5" t="s">
        <v>2077</v>
      </c>
      <c r="I68" s="4" t="s">
        <v>14</v>
      </c>
    </row>
    <row r="69" spans="2:10" ht="17.100000000000001" customHeight="1" x14ac:dyDescent="0.3">
      <c r="B69" s="19"/>
      <c r="C69" s="17"/>
      <c r="D69" s="4">
        <v>65</v>
      </c>
      <c r="E69" s="4">
        <v>20260</v>
      </c>
      <c r="F69" s="4" t="str">
        <f t="shared" si="2"/>
        <v>4F24</v>
      </c>
      <c r="G69" s="5" t="s">
        <v>137</v>
      </c>
      <c r="H69" s="5" t="s">
        <v>2078</v>
      </c>
      <c r="I69" s="4" t="s">
        <v>5</v>
      </c>
      <c r="J69" s="8"/>
    </row>
    <row r="70" spans="2:10" ht="17.100000000000001" customHeight="1" x14ac:dyDescent="0.3">
      <c r="B70" s="19"/>
      <c r="C70" s="17"/>
      <c r="D70" s="4">
        <v>66</v>
      </c>
      <c r="E70" s="4">
        <v>20264</v>
      </c>
      <c r="F70" s="4" t="str">
        <f t="shared" si="2"/>
        <v>4F28</v>
      </c>
      <c r="G70" s="5" t="s">
        <v>138</v>
      </c>
      <c r="H70" s="5" t="s">
        <v>2079</v>
      </c>
      <c r="I70" s="4" t="s">
        <v>5</v>
      </c>
      <c r="J70" s="8"/>
    </row>
    <row r="71" spans="2:10" ht="17.100000000000001" customHeight="1" x14ac:dyDescent="0.3">
      <c r="B71" s="19"/>
      <c r="C71" s="17"/>
      <c r="D71" s="4">
        <v>67</v>
      </c>
      <c r="E71" s="4">
        <v>20268</v>
      </c>
      <c r="F71" s="4" t="str">
        <f t="shared" si="2"/>
        <v>4F2C</v>
      </c>
      <c r="G71" s="5" t="s">
        <v>139</v>
      </c>
      <c r="H71" s="5" t="s">
        <v>2080</v>
      </c>
      <c r="I71" s="4" t="s">
        <v>5</v>
      </c>
      <c r="J71" s="8"/>
    </row>
    <row r="72" spans="2:10" ht="17.100000000000001" customHeight="1" x14ac:dyDescent="0.3">
      <c r="B72" s="19"/>
      <c r="C72" s="17"/>
      <c r="D72" s="4">
        <v>68</v>
      </c>
      <c r="E72" s="4">
        <v>20272</v>
      </c>
      <c r="F72" s="4" t="str">
        <f t="shared" si="2"/>
        <v>4F30</v>
      </c>
      <c r="G72" s="5" t="s">
        <v>140</v>
      </c>
      <c r="H72" s="5" t="s">
        <v>2081</v>
      </c>
      <c r="I72" s="4" t="s">
        <v>5</v>
      </c>
    </row>
    <row r="73" spans="2:10" ht="17.100000000000001" customHeight="1" x14ac:dyDescent="0.3">
      <c r="B73" s="19"/>
      <c r="C73" s="17"/>
      <c r="D73" s="4">
        <v>69</v>
      </c>
      <c r="E73" s="4">
        <v>20276</v>
      </c>
      <c r="F73" s="4" t="str">
        <f t="shared" ref="F73:F136" si="6">DEC2HEX(E73)</f>
        <v>4F34</v>
      </c>
      <c r="G73" s="5" t="s">
        <v>141</v>
      </c>
      <c r="H73" s="5" t="s">
        <v>2082</v>
      </c>
      <c r="I73" s="4" t="s">
        <v>5</v>
      </c>
    </row>
    <row r="74" spans="2:10" ht="17.100000000000001" customHeight="1" x14ac:dyDescent="0.3">
      <c r="B74" s="19"/>
      <c r="C74" s="17"/>
      <c r="D74" s="4">
        <v>70</v>
      </c>
      <c r="E74" s="4">
        <v>20280</v>
      </c>
      <c r="F74" s="4" t="str">
        <f t="shared" si="6"/>
        <v>4F38</v>
      </c>
      <c r="G74" s="5" t="s">
        <v>142</v>
      </c>
      <c r="H74" s="5" t="s">
        <v>2083</v>
      </c>
      <c r="I74" s="4" t="s">
        <v>14</v>
      </c>
    </row>
    <row r="75" spans="2:10" ht="17.100000000000001" customHeight="1" x14ac:dyDescent="0.3">
      <c r="B75" s="19"/>
      <c r="C75" s="17"/>
      <c r="D75" s="4">
        <v>71</v>
      </c>
      <c r="E75" s="4">
        <v>20284</v>
      </c>
      <c r="F75" s="4" t="str">
        <f t="shared" si="6"/>
        <v>4F3C</v>
      </c>
      <c r="G75" s="5" t="s">
        <v>143</v>
      </c>
      <c r="H75" s="5" t="s">
        <v>2084</v>
      </c>
      <c r="I75" s="4" t="s">
        <v>14</v>
      </c>
    </row>
    <row r="76" spans="2:10" ht="17.100000000000001" customHeight="1" x14ac:dyDescent="0.3">
      <c r="B76" s="19"/>
      <c r="C76" s="17"/>
      <c r="D76" s="4">
        <v>72</v>
      </c>
      <c r="E76" s="4">
        <v>20288</v>
      </c>
      <c r="F76" s="4" t="str">
        <f t="shared" si="6"/>
        <v>4F40</v>
      </c>
      <c r="G76" s="5" t="s">
        <v>144</v>
      </c>
      <c r="H76" s="5" t="s">
        <v>2085</v>
      </c>
      <c r="I76" s="4" t="s">
        <v>15</v>
      </c>
    </row>
    <row r="77" spans="2:10" ht="17.100000000000001" customHeight="1" x14ac:dyDescent="0.3">
      <c r="B77" s="19"/>
      <c r="C77" s="17"/>
      <c r="D77" s="4">
        <v>73</v>
      </c>
      <c r="E77" s="4">
        <v>20292</v>
      </c>
      <c r="F77" s="4" t="str">
        <f t="shared" si="6"/>
        <v>4F44</v>
      </c>
      <c r="G77" s="5" t="s">
        <v>145</v>
      </c>
      <c r="H77" s="5" t="s">
        <v>2086</v>
      </c>
      <c r="I77" s="4" t="s">
        <v>9</v>
      </c>
    </row>
    <row r="78" spans="2:10" ht="17.100000000000001" customHeight="1" x14ac:dyDescent="0.3">
      <c r="B78" s="19"/>
      <c r="C78" s="17"/>
      <c r="D78" s="4">
        <v>74</v>
      </c>
      <c r="E78" s="4">
        <v>20296</v>
      </c>
      <c r="F78" s="4" t="str">
        <f t="shared" si="6"/>
        <v>4F48</v>
      </c>
      <c r="G78" s="5" t="s">
        <v>146</v>
      </c>
      <c r="H78" s="5" t="s">
        <v>2087</v>
      </c>
      <c r="I78" s="4" t="s">
        <v>9</v>
      </c>
    </row>
    <row r="79" spans="2:10" ht="17.100000000000001" customHeight="1" x14ac:dyDescent="0.3">
      <c r="B79" s="19"/>
      <c r="C79" s="17"/>
      <c r="D79" s="4">
        <v>75</v>
      </c>
      <c r="E79" s="4">
        <v>20300</v>
      </c>
      <c r="F79" s="4" t="str">
        <f t="shared" si="6"/>
        <v>4F4C</v>
      </c>
      <c r="G79" s="6" t="str">
        <f>"pUmem_Cmd_TBD_"&amp;F79</f>
        <v>pUmem_Cmd_TBD_4F4C</v>
      </c>
      <c r="H79" s="6"/>
      <c r="I79" s="7"/>
    </row>
    <row r="80" spans="2:10" ht="17.100000000000001" customHeight="1" x14ac:dyDescent="0.3">
      <c r="B80" s="19"/>
      <c r="C80" s="17"/>
      <c r="D80" s="4">
        <v>76</v>
      </c>
      <c r="E80" s="4">
        <v>20304</v>
      </c>
      <c r="F80" s="4" t="str">
        <f t="shared" si="6"/>
        <v>4F50</v>
      </c>
      <c r="G80" s="6" t="str">
        <f t="shared" ref="G80:G82" si="7">"pUmem_Cmd_TBD_"&amp;F80</f>
        <v>pUmem_Cmd_TBD_4F50</v>
      </c>
      <c r="H80" s="6"/>
      <c r="I80" s="7"/>
    </row>
    <row r="81" spans="2:9" ht="17.100000000000001" customHeight="1" x14ac:dyDescent="0.3">
      <c r="B81" s="19"/>
      <c r="C81" s="17"/>
      <c r="D81" s="4">
        <v>77</v>
      </c>
      <c r="E81" s="4">
        <v>20308</v>
      </c>
      <c r="F81" s="4" t="str">
        <f t="shared" si="6"/>
        <v>4F54</v>
      </c>
      <c r="G81" s="6" t="str">
        <f t="shared" si="7"/>
        <v>pUmem_Cmd_TBD_4F54</v>
      </c>
      <c r="H81" s="6"/>
      <c r="I81" s="7"/>
    </row>
    <row r="82" spans="2:9" ht="17.100000000000001" customHeight="1" x14ac:dyDescent="0.3">
      <c r="B82" s="19"/>
      <c r="C82" s="17"/>
      <c r="D82" s="4">
        <v>78</v>
      </c>
      <c r="E82" s="4">
        <v>20312</v>
      </c>
      <c r="F82" s="4" t="str">
        <f t="shared" si="6"/>
        <v>4F58</v>
      </c>
      <c r="G82" s="6" t="str">
        <f t="shared" si="7"/>
        <v>pUmem_Cmd_TBD_4F58</v>
      </c>
      <c r="H82" s="6"/>
      <c r="I82" s="7"/>
    </row>
    <row r="83" spans="2:9" ht="17.100000000000001" customHeight="1" x14ac:dyDescent="0.3">
      <c r="B83" s="19"/>
      <c r="C83" s="17"/>
      <c r="D83" s="4">
        <v>79</v>
      </c>
      <c r="E83" s="4">
        <v>20316</v>
      </c>
      <c r="F83" s="4" t="str">
        <f t="shared" si="6"/>
        <v>4F5C</v>
      </c>
      <c r="G83" s="6" t="str">
        <f>"pUmem_Cmd_TBD_"&amp;F83</f>
        <v>pUmem_Cmd_TBD_4F5C</v>
      </c>
      <c r="H83" s="6"/>
      <c r="I83" s="7"/>
    </row>
    <row r="84" spans="2:9" ht="17.100000000000001" customHeight="1" x14ac:dyDescent="0.3">
      <c r="B84" s="19"/>
      <c r="C84" s="17" t="s">
        <v>185</v>
      </c>
      <c r="D84" s="4">
        <v>80</v>
      </c>
      <c r="E84" s="4">
        <v>20320</v>
      </c>
      <c r="F84" s="4" t="str">
        <f t="shared" si="6"/>
        <v>4F60</v>
      </c>
      <c r="G84" s="5" t="s">
        <v>147</v>
      </c>
      <c r="H84" s="5" t="s">
        <v>2073</v>
      </c>
      <c r="I84" s="4" t="s">
        <v>5</v>
      </c>
    </row>
    <row r="85" spans="2:9" ht="17.100000000000001" customHeight="1" x14ac:dyDescent="0.3">
      <c r="B85" s="19"/>
      <c r="C85" s="17"/>
      <c r="D85" s="4">
        <v>81</v>
      </c>
      <c r="E85" s="4">
        <v>20324</v>
      </c>
      <c r="F85" s="4" t="str">
        <f t="shared" si="6"/>
        <v>4F64</v>
      </c>
      <c r="G85" s="5" t="s">
        <v>148</v>
      </c>
      <c r="H85" s="5" t="s">
        <v>2074</v>
      </c>
      <c r="I85" s="4" t="s">
        <v>5</v>
      </c>
    </row>
    <row r="86" spans="2:9" ht="17.100000000000001" customHeight="1" x14ac:dyDescent="0.3">
      <c r="B86" s="19"/>
      <c r="C86" s="17"/>
      <c r="D86" s="4">
        <v>82</v>
      </c>
      <c r="E86" s="4">
        <v>20328</v>
      </c>
      <c r="F86" s="4" t="str">
        <f t="shared" si="6"/>
        <v>4F68</v>
      </c>
      <c r="G86" s="5" t="s">
        <v>149</v>
      </c>
      <c r="H86" s="5" t="s">
        <v>2075</v>
      </c>
      <c r="I86" s="4" t="s">
        <v>5</v>
      </c>
    </row>
    <row r="87" spans="2:9" ht="17.100000000000001" customHeight="1" x14ac:dyDescent="0.3">
      <c r="B87" s="19"/>
      <c r="C87" s="17"/>
      <c r="D87" s="4">
        <v>83</v>
      </c>
      <c r="E87" s="4">
        <v>20332</v>
      </c>
      <c r="F87" s="4" t="str">
        <f t="shared" si="6"/>
        <v>4F6C</v>
      </c>
      <c r="G87" s="5" t="s">
        <v>150</v>
      </c>
      <c r="H87" s="5" t="s">
        <v>2076</v>
      </c>
      <c r="I87" s="4" t="s">
        <v>5</v>
      </c>
    </row>
    <row r="88" spans="2:9" ht="17.100000000000001" customHeight="1" x14ac:dyDescent="0.3">
      <c r="B88" s="19"/>
      <c r="C88" s="17"/>
      <c r="D88" s="4">
        <v>84</v>
      </c>
      <c r="E88" s="4">
        <v>20336</v>
      </c>
      <c r="F88" s="4" t="str">
        <f t="shared" si="6"/>
        <v>4F70</v>
      </c>
      <c r="G88" s="5" t="s">
        <v>151</v>
      </c>
      <c r="H88" s="5" t="s">
        <v>2077</v>
      </c>
      <c r="I88" s="4" t="s">
        <v>14</v>
      </c>
    </row>
    <row r="89" spans="2:9" ht="17.100000000000001" customHeight="1" x14ac:dyDescent="0.3">
      <c r="B89" s="19"/>
      <c r="C89" s="17"/>
      <c r="D89" s="4">
        <v>85</v>
      </c>
      <c r="E89" s="4">
        <v>20340</v>
      </c>
      <c r="F89" s="4" t="str">
        <f t="shared" si="6"/>
        <v>4F74</v>
      </c>
      <c r="G89" s="5" t="s">
        <v>152</v>
      </c>
      <c r="H89" s="5" t="s">
        <v>2078</v>
      </c>
      <c r="I89" s="4" t="s">
        <v>5</v>
      </c>
    </row>
    <row r="90" spans="2:9" ht="17.100000000000001" customHeight="1" x14ac:dyDescent="0.3">
      <c r="B90" s="19"/>
      <c r="C90" s="17"/>
      <c r="D90" s="4">
        <v>86</v>
      </c>
      <c r="E90" s="4">
        <v>20344</v>
      </c>
      <c r="F90" s="4" t="str">
        <f t="shared" si="6"/>
        <v>4F78</v>
      </c>
      <c r="G90" s="5" t="s">
        <v>153</v>
      </c>
      <c r="H90" s="5" t="s">
        <v>2079</v>
      </c>
      <c r="I90" s="4" t="s">
        <v>5</v>
      </c>
    </row>
    <row r="91" spans="2:9" ht="17.100000000000001" customHeight="1" x14ac:dyDescent="0.3">
      <c r="B91" s="19"/>
      <c r="C91" s="17"/>
      <c r="D91" s="4">
        <v>87</v>
      </c>
      <c r="E91" s="4">
        <v>20348</v>
      </c>
      <c r="F91" s="4" t="str">
        <f t="shared" si="6"/>
        <v>4F7C</v>
      </c>
      <c r="G91" s="5" t="s">
        <v>154</v>
      </c>
      <c r="H91" s="5" t="s">
        <v>2080</v>
      </c>
      <c r="I91" s="4" t="s">
        <v>5</v>
      </c>
    </row>
    <row r="92" spans="2:9" ht="17.100000000000001" customHeight="1" x14ac:dyDescent="0.3">
      <c r="B92" s="19"/>
      <c r="C92" s="17"/>
      <c r="D92" s="4">
        <v>88</v>
      </c>
      <c r="E92" s="4">
        <v>20352</v>
      </c>
      <c r="F92" s="4" t="str">
        <f t="shared" si="6"/>
        <v>4F80</v>
      </c>
      <c r="G92" s="5" t="s">
        <v>155</v>
      </c>
      <c r="H92" s="5" t="s">
        <v>2081</v>
      </c>
      <c r="I92" s="4" t="s">
        <v>5</v>
      </c>
    </row>
    <row r="93" spans="2:9" ht="17.100000000000001" customHeight="1" x14ac:dyDescent="0.3">
      <c r="B93" s="19"/>
      <c r="C93" s="17"/>
      <c r="D93" s="4">
        <v>89</v>
      </c>
      <c r="E93" s="4">
        <v>20356</v>
      </c>
      <c r="F93" s="4" t="str">
        <f t="shared" si="6"/>
        <v>4F84</v>
      </c>
      <c r="G93" s="5" t="s">
        <v>156</v>
      </c>
      <c r="H93" s="5" t="s">
        <v>2082</v>
      </c>
      <c r="I93" s="4" t="s">
        <v>5</v>
      </c>
    </row>
    <row r="94" spans="2:9" ht="17.100000000000001" customHeight="1" x14ac:dyDescent="0.3">
      <c r="B94" s="19"/>
      <c r="C94" s="17"/>
      <c r="D94" s="4">
        <v>90</v>
      </c>
      <c r="E94" s="4">
        <v>20360</v>
      </c>
      <c r="F94" s="4" t="str">
        <f t="shared" si="6"/>
        <v>4F88</v>
      </c>
      <c r="G94" s="5" t="s">
        <v>157</v>
      </c>
      <c r="H94" s="5" t="s">
        <v>2083</v>
      </c>
      <c r="I94" s="4" t="s">
        <v>14</v>
      </c>
    </row>
    <row r="95" spans="2:9" ht="17.100000000000001" customHeight="1" x14ac:dyDescent="0.3">
      <c r="B95" s="19"/>
      <c r="C95" s="17"/>
      <c r="D95" s="4">
        <v>91</v>
      </c>
      <c r="E95" s="4">
        <v>20364</v>
      </c>
      <c r="F95" s="4" t="str">
        <f t="shared" si="6"/>
        <v>4F8C</v>
      </c>
      <c r="G95" s="5" t="s">
        <v>158</v>
      </c>
      <c r="H95" s="5" t="s">
        <v>2084</v>
      </c>
      <c r="I95" s="4" t="s">
        <v>14</v>
      </c>
    </row>
    <row r="96" spans="2:9" ht="17.100000000000001" customHeight="1" x14ac:dyDescent="0.3">
      <c r="B96" s="19"/>
      <c r="C96" s="17"/>
      <c r="D96" s="4">
        <v>92</v>
      </c>
      <c r="E96" s="4">
        <v>20368</v>
      </c>
      <c r="F96" s="4" t="str">
        <f t="shared" si="6"/>
        <v>4F90</v>
      </c>
      <c r="G96" s="5" t="s">
        <v>159</v>
      </c>
      <c r="H96" s="5" t="s">
        <v>2085</v>
      </c>
      <c r="I96" s="4" t="s">
        <v>15</v>
      </c>
    </row>
    <row r="97" spans="2:9" ht="17.100000000000001" customHeight="1" x14ac:dyDescent="0.3">
      <c r="B97" s="19"/>
      <c r="C97" s="17"/>
      <c r="D97" s="4">
        <v>93</v>
      </c>
      <c r="E97" s="4">
        <v>20372</v>
      </c>
      <c r="F97" s="4" t="str">
        <f t="shared" si="6"/>
        <v>4F94</v>
      </c>
      <c r="G97" s="5" t="s">
        <v>160</v>
      </c>
      <c r="H97" s="5" t="s">
        <v>2086</v>
      </c>
      <c r="I97" s="4" t="s">
        <v>9</v>
      </c>
    </row>
    <row r="98" spans="2:9" ht="17.100000000000001" customHeight="1" x14ac:dyDescent="0.3">
      <c r="B98" s="19"/>
      <c r="C98" s="17"/>
      <c r="D98" s="4">
        <v>94</v>
      </c>
      <c r="E98" s="4">
        <v>20376</v>
      </c>
      <c r="F98" s="4" t="str">
        <f t="shared" si="6"/>
        <v>4F98</v>
      </c>
      <c r="G98" s="5" t="s">
        <v>161</v>
      </c>
      <c r="H98" s="5" t="s">
        <v>2087</v>
      </c>
      <c r="I98" s="4" t="s">
        <v>9</v>
      </c>
    </row>
    <row r="99" spans="2:9" ht="17.100000000000001" customHeight="1" x14ac:dyDescent="0.3">
      <c r="B99" s="19"/>
      <c r="C99" s="17"/>
      <c r="D99" s="4">
        <v>95</v>
      </c>
      <c r="E99" s="4">
        <v>20380</v>
      </c>
      <c r="F99" s="4" t="str">
        <f t="shared" si="6"/>
        <v>4F9C</v>
      </c>
      <c r="G99" s="6" t="str">
        <f>"pUmem_Cmd_TBD_"&amp;F99</f>
        <v>pUmem_Cmd_TBD_4F9C</v>
      </c>
      <c r="H99" s="6"/>
      <c r="I99" s="7"/>
    </row>
    <row r="100" spans="2:9" ht="17.100000000000001" customHeight="1" x14ac:dyDescent="0.3">
      <c r="B100" s="19"/>
      <c r="C100" s="17"/>
      <c r="D100" s="4">
        <v>96</v>
      </c>
      <c r="E100" s="4">
        <v>20384</v>
      </c>
      <c r="F100" s="4" t="str">
        <f t="shared" si="6"/>
        <v>4FA0</v>
      </c>
      <c r="G100" s="6" t="str">
        <f t="shared" ref="G100:G102" si="8">"pUmem_Cmd_TBD_"&amp;F100</f>
        <v>pUmem_Cmd_TBD_4FA0</v>
      </c>
      <c r="H100" s="6"/>
      <c r="I100" s="7"/>
    </row>
    <row r="101" spans="2:9" ht="17.100000000000001" customHeight="1" x14ac:dyDescent="0.3">
      <c r="B101" s="19"/>
      <c r="C101" s="17"/>
      <c r="D101" s="4">
        <v>97</v>
      </c>
      <c r="E101" s="4">
        <v>20388</v>
      </c>
      <c r="F101" s="4" t="str">
        <f t="shared" si="6"/>
        <v>4FA4</v>
      </c>
      <c r="G101" s="6" t="str">
        <f t="shared" si="8"/>
        <v>pUmem_Cmd_TBD_4FA4</v>
      </c>
      <c r="H101" s="6"/>
      <c r="I101" s="7"/>
    </row>
    <row r="102" spans="2:9" ht="17.100000000000001" customHeight="1" x14ac:dyDescent="0.3">
      <c r="B102" s="19"/>
      <c r="C102" s="17"/>
      <c r="D102" s="4">
        <v>98</v>
      </c>
      <c r="E102" s="4">
        <v>20392</v>
      </c>
      <c r="F102" s="4" t="str">
        <f t="shared" si="6"/>
        <v>4FA8</v>
      </c>
      <c r="G102" s="6" t="str">
        <f t="shared" si="8"/>
        <v>pUmem_Cmd_TBD_4FA8</v>
      </c>
      <c r="H102" s="6"/>
      <c r="I102" s="7"/>
    </row>
    <row r="103" spans="2:9" ht="17.100000000000001" customHeight="1" x14ac:dyDescent="0.3">
      <c r="B103" s="19"/>
      <c r="C103" s="17"/>
      <c r="D103" s="4">
        <v>99</v>
      </c>
      <c r="E103" s="4">
        <v>20396</v>
      </c>
      <c r="F103" s="4" t="str">
        <f t="shared" si="6"/>
        <v>4FAC</v>
      </c>
      <c r="G103" s="6" t="str">
        <f>"pUmem_Cmd_TBD_"&amp;F103</f>
        <v>pUmem_Cmd_TBD_4FAC</v>
      </c>
      <c r="H103" s="6"/>
      <c r="I103" s="7"/>
    </row>
    <row r="104" spans="2:9" ht="17.100000000000001" customHeight="1" x14ac:dyDescent="0.3">
      <c r="B104" s="19"/>
      <c r="C104" s="17" t="s">
        <v>186</v>
      </c>
      <c r="D104" s="4">
        <v>100</v>
      </c>
      <c r="E104" s="4">
        <v>20400</v>
      </c>
      <c r="F104" s="4" t="str">
        <f t="shared" si="6"/>
        <v>4FB0</v>
      </c>
      <c r="G104" s="5" t="s">
        <v>162</v>
      </c>
      <c r="H104" s="5" t="s">
        <v>2073</v>
      </c>
      <c r="I104" s="4" t="s">
        <v>5</v>
      </c>
    </row>
    <row r="105" spans="2:9" ht="17.100000000000001" customHeight="1" x14ac:dyDescent="0.3">
      <c r="B105" s="19"/>
      <c r="C105" s="17"/>
      <c r="D105" s="4">
        <v>101</v>
      </c>
      <c r="E105" s="4">
        <v>20404</v>
      </c>
      <c r="F105" s="4" t="str">
        <f t="shared" si="6"/>
        <v>4FB4</v>
      </c>
      <c r="G105" s="5" t="s">
        <v>163</v>
      </c>
      <c r="H105" s="5" t="s">
        <v>2074</v>
      </c>
      <c r="I105" s="4" t="s">
        <v>5</v>
      </c>
    </row>
    <row r="106" spans="2:9" ht="17.100000000000001" customHeight="1" x14ac:dyDescent="0.3">
      <c r="B106" s="19"/>
      <c r="C106" s="17"/>
      <c r="D106" s="4">
        <v>102</v>
      </c>
      <c r="E106" s="4">
        <v>20408</v>
      </c>
      <c r="F106" s="4" t="str">
        <f t="shared" si="6"/>
        <v>4FB8</v>
      </c>
      <c r="G106" s="5" t="s">
        <v>164</v>
      </c>
      <c r="H106" s="5" t="s">
        <v>2075</v>
      </c>
      <c r="I106" s="4" t="s">
        <v>5</v>
      </c>
    </row>
    <row r="107" spans="2:9" ht="17.100000000000001" customHeight="1" x14ac:dyDescent="0.3">
      <c r="B107" s="19"/>
      <c r="C107" s="17"/>
      <c r="D107" s="4">
        <v>103</v>
      </c>
      <c r="E107" s="4">
        <v>20412</v>
      </c>
      <c r="F107" s="4" t="str">
        <f t="shared" si="6"/>
        <v>4FBC</v>
      </c>
      <c r="G107" s="5" t="s">
        <v>165</v>
      </c>
      <c r="H107" s="5" t="s">
        <v>2076</v>
      </c>
      <c r="I107" s="4" t="s">
        <v>5</v>
      </c>
    </row>
    <row r="108" spans="2:9" ht="17.100000000000001" customHeight="1" x14ac:dyDescent="0.3">
      <c r="B108" s="19"/>
      <c r="C108" s="17"/>
      <c r="D108" s="4">
        <v>104</v>
      </c>
      <c r="E108" s="4">
        <v>20416</v>
      </c>
      <c r="F108" s="4" t="str">
        <f t="shared" si="6"/>
        <v>4FC0</v>
      </c>
      <c r="G108" s="5" t="s">
        <v>166</v>
      </c>
      <c r="H108" s="5" t="s">
        <v>2077</v>
      </c>
      <c r="I108" s="4" t="s">
        <v>14</v>
      </c>
    </row>
    <row r="109" spans="2:9" ht="17.100000000000001" customHeight="1" x14ac:dyDescent="0.3">
      <c r="B109" s="19"/>
      <c r="C109" s="17"/>
      <c r="D109" s="4">
        <v>105</v>
      </c>
      <c r="E109" s="4">
        <v>20420</v>
      </c>
      <c r="F109" s="4" t="str">
        <f t="shared" si="6"/>
        <v>4FC4</v>
      </c>
      <c r="G109" s="5" t="s">
        <v>167</v>
      </c>
      <c r="H109" s="5" t="s">
        <v>2078</v>
      </c>
      <c r="I109" s="4" t="s">
        <v>5</v>
      </c>
    </row>
    <row r="110" spans="2:9" ht="17.100000000000001" customHeight="1" x14ac:dyDescent="0.3">
      <c r="B110" s="19"/>
      <c r="C110" s="17"/>
      <c r="D110" s="4">
        <v>106</v>
      </c>
      <c r="E110" s="4">
        <v>20424</v>
      </c>
      <c r="F110" s="4" t="str">
        <f t="shared" si="6"/>
        <v>4FC8</v>
      </c>
      <c r="G110" s="5" t="s">
        <v>168</v>
      </c>
      <c r="H110" s="5" t="s">
        <v>2079</v>
      </c>
      <c r="I110" s="4" t="s">
        <v>5</v>
      </c>
    </row>
    <row r="111" spans="2:9" ht="17.100000000000001" customHeight="1" x14ac:dyDescent="0.3">
      <c r="B111" s="19"/>
      <c r="C111" s="17"/>
      <c r="D111" s="4">
        <v>107</v>
      </c>
      <c r="E111" s="4">
        <v>20428</v>
      </c>
      <c r="F111" s="4" t="str">
        <f t="shared" si="6"/>
        <v>4FCC</v>
      </c>
      <c r="G111" s="5" t="s">
        <v>169</v>
      </c>
      <c r="H111" s="5" t="s">
        <v>2080</v>
      </c>
      <c r="I111" s="4" t="s">
        <v>5</v>
      </c>
    </row>
    <row r="112" spans="2:9" ht="17.100000000000001" customHeight="1" x14ac:dyDescent="0.3">
      <c r="B112" s="19"/>
      <c r="C112" s="17"/>
      <c r="D112" s="4">
        <v>108</v>
      </c>
      <c r="E112" s="4">
        <v>20432</v>
      </c>
      <c r="F112" s="4" t="str">
        <f t="shared" si="6"/>
        <v>4FD0</v>
      </c>
      <c r="G112" s="5" t="s">
        <v>170</v>
      </c>
      <c r="H112" s="5" t="s">
        <v>2081</v>
      </c>
      <c r="I112" s="4" t="s">
        <v>5</v>
      </c>
    </row>
    <row r="113" spans="2:9" ht="17.100000000000001" customHeight="1" x14ac:dyDescent="0.3">
      <c r="B113" s="19"/>
      <c r="C113" s="17"/>
      <c r="D113" s="4">
        <v>109</v>
      </c>
      <c r="E113" s="4">
        <v>20436</v>
      </c>
      <c r="F113" s="4" t="str">
        <f t="shared" si="6"/>
        <v>4FD4</v>
      </c>
      <c r="G113" s="5" t="s">
        <v>171</v>
      </c>
      <c r="H113" s="5" t="s">
        <v>2082</v>
      </c>
      <c r="I113" s="4" t="s">
        <v>5</v>
      </c>
    </row>
    <row r="114" spans="2:9" ht="17.100000000000001" customHeight="1" x14ac:dyDescent="0.3">
      <c r="B114" s="19"/>
      <c r="C114" s="17"/>
      <c r="D114" s="4">
        <v>110</v>
      </c>
      <c r="E114" s="4">
        <v>20440</v>
      </c>
      <c r="F114" s="4" t="str">
        <f t="shared" si="6"/>
        <v>4FD8</v>
      </c>
      <c r="G114" s="5" t="s">
        <v>172</v>
      </c>
      <c r="H114" s="5" t="s">
        <v>2083</v>
      </c>
      <c r="I114" s="4" t="s">
        <v>14</v>
      </c>
    </row>
    <row r="115" spans="2:9" ht="17.100000000000001" customHeight="1" x14ac:dyDescent="0.3">
      <c r="B115" s="19"/>
      <c r="C115" s="17"/>
      <c r="D115" s="4">
        <v>111</v>
      </c>
      <c r="E115" s="4">
        <v>20444</v>
      </c>
      <c r="F115" s="4" t="str">
        <f t="shared" si="6"/>
        <v>4FDC</v>
      </c>
      <c r="G115" s="5" t="s">
        <v>173</v>
      </c>
      <c r="H115" s="5" t="s">
        <v>2084</v>
      </c>
      <c r="I115" s="4" t="s">
        <v>14</v>
      </c>
    </row>
    <row r="116" spans="2:9" ht="17.100000000000001" customHeight="1" x14ac:dyDescent="0.3">
      <c r="B116" s="19"/>
      <c r="C116" s="17"/>
      <c r="D116" s="4">
        <v>112</v>
      </c>
      <c r="E116" s="4">
        <v>20448</v>
      </c>
      <c r="F116" s="4" t="str">
        <f t="shared" si="6"/>
        <v>4FE0</v>
      </c>
      <c r="G116" s="5" t="s">
        <v>174</v>
      </c>
      <c r="H116" s="5" t="s">
        <v>2085</v>
      </c>
      <c r="I116" s="4" t="s">
        <v>15</v>
      </c>
    </row>
    <row r="117" spans="2:9" ht="17.100000000000001" customHeight="1" x14ac:dyDescent="0.3">
      <c r="B117" s="19"/>
      <c r="C117" s="17"/>
      <c r="D117" s="4">
        <v>113</v>
      </c>
      <c r="E117" s="4">
        <v>20452</v>
      </c>
      <c r="F117" s="4" t="str">
        <f t="shared" si="6"/>
        <v>4FE4</v>
      </c>
      <c r="G117" s="5" t="s">
        <v>175</v>
      </c>
      <c r="H117" s="5" t="s">
        <v>2086</v>
      </c>
      <c r="I117" s="4" t="s">
        <v>9</v>
      </c>
    </row>
    <row r="118" spans="2:9" ht="17.100000000000001" customHeight="1" x14ac:dyDescent="0.3">
      <c r="B118" s="19"/>
      <c r="C118" s="17"/>
      <c r="D118" s="4">
        <v>114</v>
      </c>
      <c r="E118" s="4">
        <v>20456</v>
      </c>
      <c r="F118" s="4" t="str">
        <f t="shared" si="6"/>
        <v>4FE8</v>
      </c>
      <c r="G118" s="5" t="s">
        <v>176</v>
      </c>
      <c r="H118" s="5" t="s">
        <v>2087</v>
      </c>
      <c r="I118" s="4" t="s">
        <v>9</v>
      </c>
    </row>
    <row r="119" spans="2:9" ht="17.100000000000001" customHeight="1" x14ac:dyDescent="0.3">
      <c r="B119" s="19"/>
      <c r="C119" s="17"/>
      <c r="D119" s="4">
        <v>115</v>
      </c>
      <c r="E119" s="4">
        <v>20460</v>
      </c>
      <c r="F119" s="4" t="str">
        <f t="shared" si="6"/>
        <v>4FEC</v>
      </c>
      <c r="G119" s="6" t="str">
        <f>"pUmem_Cmd_TBD_"&amp;F119</f>
        <v>pUmem_Cmd_TBD_4FEC</v>
      </c>
      <c r="H119" s="6"/>
      <c r="I119" s="7"/>
    </row>
    <row r="120" spans="2:9" ht="17.100000000000001" customHeight="1" x14ac:dyDescent="0.3">
      <c r="B120" s="19"/>
      <c r="C120" s="17"/>
      <c r="D120" s="4">
        <v>116</v>
      </c>
      <c r="E120" s="4">
        <v>20464</v>
      </c>
      <c r="F120" s="4" t="str">
        <f t="shared" si="6"/>
        <v>4FF0</v>
      </c>
      <c r="G120" s="6" t="str">
        <f t="shared" ref="G120:G122" si="9">"pUmem_Cmd_TBD_"&amp;F120</f>
        <v>pUmem_Cmd_TBD_4FF0</v>
      </c>
      <c r="H120" s="6"/>
      <c r="I120" s="7"/>
    </row>
    <row r="121" spans="2:9" ht="17.100000000000001" customHeight="1" x14ac:dyDescent="0.3">
      <c r="B121" s="19"/>
      <c r="C121" s="17"/>
      <c r="D121" s="4">
        <v>117</v>
      </c>
      <c r="E121" s="4">
        <v>20468</v>
      </c>
      <c r="F121" s="4" t="str">
        <f t="shared" si="6"/>
        <v>4FF4</v>
      </c>
      <c r="G121" s="6" t="str">
        <f t="shared" si="9"/>
        <v>pUmem_Cmd_TBD_4FF4</v>
      </c>
      <c r="H121" s="6"/>
      <c r="I121" s="7"/>
    </row>
    <row r="122" spans="2:9" ht="17.100000000000001" customHeight="1" x14ac:dyDescent="0.3">
      <c r="B122" s="19"/>
      <c r="C122" s="17"/>
      <c r="D122" s="4">
        <v>118</v>
      </c>
      <c r="E122" s="4">
        <v>20472</v>
      </c>
      <c r="F122" s="4" t="str">
        <f t="shared" si="6"/>
        <v>4FF8</v>
      </c>
      <c r="G122" s="6" t="str">
        <f t="shared" si="9"/>
        <v>pUmem_Cmd_TBD_4FF8</v>
      </c>
      <c r="H122" s="6"/>
      <c r="I122" s="7"/>
    </row>
    <row r="123" spans="2:9" ht="17.100000000000001" customHeight="1" x14ac:dyDescent="0.3">
      <c r="B123" s="19"/>
      <c r="C123" s="17"/>
      <c r="D123" s="4">
        <v>119</v>
      </c>
      <c r="E123" s="4">
        <v>20476</v>
      </c>
      <c r="F123" s="4" t="str">
        <f t="shared" si="6"/>
        <v>4FFC</v>
      </c>
      <c r="G123" s="6" t="str">
        <f>"pUmem_Cmd_TBD_"&amp;F123</f>
        <v>pUmem_Cmd_TBD_4FFC</v>
      </c>
      <c r="H123" s="6"/>
      <c r="I123" s="7"/>
    </row>
    <row r="124" spans="2:9" ht="17.100000000000001" customHeight="1" x14ac:dyDescent="0.3">
      <c r="B124" s="19"/>
      <c r="C124" s="17" t="s">
        <v>187</v>
      </c>
      <c r="D124" s="4">
        <v>120</v>
      </c>
      <c r="E124" s="4">
        <v>20480</v>
      </c>
      <c r="F124" s="4" t="str">
        <f t="shared" si="6"/>
        <v>5000</v>
      </c>
      <c r="G124" s="5" t="s">
        <v>189</v>
      </c>
      <c r="H124" s="5" t="s">
        <v>2073</v>
      </c>
      <c r="I124" s="4" t="s">
        <v>5</v>
      </c>
    </row>
    <row r="125" spans="2:9" ht="17.100000000000001" customHeight="1" x14ac:dyDescent="0.3">
      <c r="B125" s="19"/>
      <c r="C125" s="17"/>
      <c r="D125" s="4">
        <v>121</v>
      </c>
      <c r="E125" s="4">
        <v>20484</v>
      </c>
      <c r="F125" s="4" t="str">
        <f t="shared" si="6"/>
        <v>5004</v>
      </c>
      <c r="G125" s="5" t="s">
        <v>190</v>
      </c>
      <c r="H125" s="5" t="s">
        <v>2074</v>
      </c>
      <c r="I125" s="4" t="s">
        <v>5</v>
      </c>
    </row>
    <row r="126" spans="2:9" ht="17.100000000000001" customHeight="1" x14ac:dyDescent="0.3">
      <c r="B126" s="19"/>
      <c r="C126" s="17"/>
      <c r="D126" s="4">
        <v>122</v>
      </c>
      <c r="E126" s="4">
        <v>20488</v>
      </c>
      <c r="F126" s="4" t="str">
        <f t="shared" si="6"/>
        <v>5008</v>
      </c>
      <c r="G126" s="5" t="s">
        <v>191</v>
      </c>
      <c r="H126" s="5" t="s">
        <v>2075</v>
      </c>
      <c r="I126" s="4" t="s">
        <v>5</v>
      </c>
    </row>
    <row r="127" spans="2:9" ht="17.100000000000001" customHeight="1" x14ac:dyDescent="0.3">
      <c r="B127" s="19"/>
      <c r="C127" s="17"/>
      <c r="D127" s="4">
        <v>123</v>
      </c>
      <c r="E127" s="4">
        <v>20492</v>
      </c>
      <c r="F127" s="4" t="str">
        <f t="shared" si="6"/>
        <v>500C</v>
      </c>
      <c r="G127" s="5" t="s">
        <v>192</v>
      </c>
      <c r="H127" s="5" t="s">
        <v>2076</v>
      </c>
      <c r="I127" s="4" t="s">
        <v>5</v>
      </c>
    </row>
    <row r="128" spans="2:9" ht="17.100000000000001" customHeight="1" x14ac:dyDescent="0.3">
      <c r="B128" s="19"/>
      <c r="C128" s="17"/>
      <c r="D128" s="4">
        <v>124</v>
      </c>
      <c r="E128" s="4">
        <v>20496</v>
      </c>
      <c r="F128" s="4" t="str">
        <f t="shared" si="6"/>
        <v>5010</v>
      </c>
      <c r="G128" s="5" t="s">
        <v>193</v>
      </c>
      <c r="H128" s="5" t="s">
        <v>2077</v>
      </c>
      <c r="I128" s="4" t="s">
        <v>14</v>
      </c>
    </row>
    <row r="129" spans="2:9" ht="17.100000000000001" customHeight="1" x14ac:dyDescent="0.3">
      <c r="B129" s="19"/>
      <c r="C129" s="17"/>
      <c r="D129" s="4">
        <v>125</v>
      </c>
      <c r="E129" s="4">
        <v>20500</v>
      </c>
      <c r="F129" s="4" t="str">
        <f t="shared" si="6"/>
        <v>5014</v>
      </c>
      <c r="G129" s="5" t="s">
        <v>194</v>
      </c>
      <c r="H129" s="5" t="s">
        <v>2078</v>
      </c>
      <c r="I129" s="4" t="s">
        <v>5</v>
      </c>
    </row>
    <row r="130" spans="2:9" ht="17.100000000000001" customHeight="1" x14ac:dyDescent="0.3">
      <c r="B130" s="19"/>
      <c r="C130" s="17"/>
      <c r="D130" s="4">
        <v>126</v>
      </c>
      <c r="E130" s="4">
        <v>20504</v>
      </c>
      <c r="F130" s="4" t="str">
        <f t="shared" si="6"/>
        <v>5018</v>
      </c>
      <c r="G130" s="5" t="s">
        <v>195</v>
      </c>
      <c r="H130" s="5" t="s">
        <v>2079</v>
      </c>
      <c r="I130" s="4" t="s">
        <v>5</v>
      </c>
    </row>
    <row r="131" spans="2:9" ht="17.100000000000001" customHeight="1" x14ac:dyDescent="0.3">
      <c r="B131" s="19"/>
      <c r="C131" s="17"/>
      <c r="D131" s="4">
        <v>127</v>
      </c>
      <c r="E131" s="4">
        <v>20508</v>
      </c>
      <c r="F131" s="4" t="str">
        <f t="shared" si="6"/>
        <v>501C</v>
      </c>
      <c r="G131" s="5" t="s">
        <v>196</v>
      </c>
      <c r="H131" s="5" t="s">
        <v>2080</v>
      </c>
      <c r="I131" s="4" t="s">
        <v>5</v>
      </c>
    </row>
    <row r="132" spans="2:9" ht="17.100000000000001" customHeight="1" x14ac:dyDescent="0.3">
      <c r="B132" s="19"/>
      <c r="C132" s="17"/>
      <c r="D132" s="4">
        <v>128</v>
      </c>
      <c r="E132" s="4">
        <v>20512</v>
      </c>
      <c r="F132" s="4" t="str">
        <f t="shared" si="6"/>
        <v>5020</v>
      </c>
      <c r="G132" s="5" t="s">
        <v>197</v>
      </c>
      <c r="H132" s="5" t="s">
        <v>2081</v>
      </c>
      <c r="I132" s="4" t="s">
        <v>5</v>
      </c>
    </row>
    <row r="133" spans="2:9" ht="17.100000000000001" customHeight="1" x14ac:dyDescent="0.3">
      <c r="B133" s="19"/>
      <c r="C133" s="17"/>
      <c r="D133" s="4">
        <v>129</v>
      </c>
      <c r="E133" s="4">
        <v>20516</v>
      </c>
      <c r="F133" s="4" t="str">
        <f t="shared" si="6"/>
        <v>5024</v>
      </c>
      <c r="G133" s="5" t="s">
        <v>198</v>
      </c>
      <c r="H133" s="5" t="s">
        <v>2082</v>
      </c>
      <c r="I133" s="4" t="s">
        <v>5</v>
      </c>
    </row>
    <row r="134" spans="2:9" ht="17.100000000000001" customHeight="1" x14ac:dyDescent="0.3">
      <c r="B134" s="19"/>
      <c r="C134" s="17"/>
      <c r="D134" s="4">
        <v>130</v>
      </c>
      <c r="E134" s="4">
        <v>20520</v>
      </c>
      <c r="F134" s="4" t="str">
        <f t="shared" si="6"/>
        <v>5028</v>
      </c>
      <c r="G134" s="5" t="s">
        <v>199</v>
      </c>
      <c r="H134" s="5" t="s">
        <v>2083</v>
      </c>
      <c r="I134" s="4" t="s">
        <v>14</v>
      </c>
    </row>
    <row r="135" spans="2:9" ht="17.100000000000001" customHeight="1" x14ac:dyDescent="0.3">
      <c r="B135" s="19"/>
      <c r="C135" s="17"/>
      <c r="D135" s="4">
        <v>131</v>
      </c>
      <c r="E135" s="4">
        <v>20524</v>
      </c>
      <c r="F135" s="4" t="str">
        <f t="shared" si="6"/>
        <v>502C</v>
      </c>
      <c r="G135" s="5" t="s">
        <v>200</v>
      </c>
      <c r="H135" s="5" t="s">
        <v>2084</v>
      </c>
      <c r="I135" s="4" t="s">
        <v>14</v>
      </c>
    </row>
    <row r="136" spans="2:9" ht="17.100000000000001" customHeight="1" x14ac:dyDescent="0.3">
      <c r="B136" s="19"/>
      <c r="C136" s="17"/>
      <c r="D136" s="4">
        <v>132</v>
      </c>
      <c r="E136" s="4">
        <v>20528</v>
      </c>
      <c r="F136" s="4" t="str">
        <f t="shared" si="6"/>
        <v>5030</v>
      </c>
      <c r="G136" s="5" t="s">
        <v>201</v>
      </c>
      <c r="H136" s="5" t="s">
        <v>2085</v>
      </c>
      <c r="I136" s="4" t="s">
        <v>15</v>
      </c>
    </row>
    <row r="137" spans="2:9" ht="17.100000000000001" customHeight="1" x14ac:dyDescent="0.3">
      <c r="B137" s="19"/>
      <c r="C137" s="17"/>
      <c r="D137" s="4">
        <v>133</v>
      </c>
      <c r="E137" s="4">
        <v>20532</v>
      </c>
      <c r="F137" s="4" t="str">
        <f t="shared" ref="F137:F200" si="10">DEC2HEX(E137)</f>
        <v>5034</v>
      </c>
      <c r="G137" s="5" t="s">
        <v>202</v>
      </c>
      <c r="H137" s="5" t="s">
        <v>2086</v>
      </c>
      <c r="I137" s="4" t="s">
        <v>9</v>
      </c>
    </row>
    <row r="138" spans="2:9" ht="17.100000000000001" customHeight="1" x14ac:dyDescent="0.3">
      <c r="B138" s="19"/>
      <c r="C138" s="17"/>
      <c r="D138" s="4">
        <v>134</v>
      </c>
      <c r="E138" s="4">
        <v>20536</v>
      </c>
      <c r="F138" s="4" t="str">
        <f t="shared" si="10"/>
        <v>5038</v>
      </c>
      <c r="G138" s="5" t="s">
        <v>203</v>
      </c>
      <c r="H138" s="5" t="s">
        <v>2087</v>
      </c>
      <c r="I138" s="4" t="s">
        <v>9</v>
      </c>
    </row>
    <row r="139" spans="2:9" ht="17.100000000000001" customHeight="1" x14ac:dyDescent="0.3">
      <c r="B139" s="19"/>
      <c r="C139" s="17"/>
      <c r="D139" s="4">
        <v>135</v>
      </c>
      <c r="E139" s="4">
        <v>20540</v>
      </c>
      <c r="F139" s="4" t="str">
        <f t="shared" si="10"/>
        <v>503C</v>
      </c>
      <c r="G139" s="6" t="str">
        <f>"pUmem_Cmd_TBD_"&amp;F139</f>
        <v>pUmem_Cmd_TBD_503C</v>
      </c>
      <c r="H139" s="6"/>
      <c r="I139" s="7"/>
    </row>
    <row r="140" spans="2:9" ht="17.100000000000001" customHeight="1" x14ac:dyDescent="0.3">
      <c r="B140" s="19"/>
      <c r="C140" s="17"/>
      <c r="D140" s="4">
        <v>136</v>
      </c>
      <c r="E140" s="4">
        <v>20544</v>
      </c>
      <c r="F140" s="4" t="str">
        <f t="shared" si="10"/>
        <v>5040</v>
      </c>
      <c r="G140" s="6" t="str">
        <f t="shared" ref="G140:G142" si="11">"pUmem_Cmd_TBD_"&amp;F140</f>
        <v>pUmem_Cmd_TBD_5040</v>
      </c>
      <c r="H140" s="6"/>
      <c r="I140" s="7"/>
    </row>
    <row r="141" spans="2:9" ht="17.100000000000001" customHeight="1" x14ac:dyDescent="0.3">
      <c r="B141" s="19"/>
      <c r="C141" s="17"/>
      <c r="D141" s="4">
        <v>137</v>
      </c>
      <c r="E141" s="4">
        <v>20548</v>
      </c>
      <c r="F141" s="4" t="str">
        <f t="shared" si="10"/>
        <v>5044</v>
      </c>
      <c r="G141" s="6" t="str">
        <f t="shared" si="11"/>
        <v>pUmem_Cmd_TBD_5044</v>
      </c>
      <c r="H141" s="6"/>
      <c r="I141" s="7"/>
    </row>
    <row r="142" spans="2:9" ht="17.100000000000001" customHeight="1" x14ac:dyDescent="0.3">
      <c r="B142" s="19"/>
      <c r="C142" s="17"/>
      <c r="D142" s="4">
        <v>138</v>
      </c>
      <c r="E142" s="4">
        <v>20552</v>
      </c>
      <c r="F142" s="4" t="str">
        <f t="shared" si="10"/>
        <v>5048</v>
      </c>
      <c r="G142" s="6" t="str">
        <f t="shared" si="11"/>
        <v>pUmem_Cmd_TBD_5048</v>
      </c>
      <c r="H142" s="6"/>
      <c r="I142" s="7"/>
    </row>
    <row r="143" spans="2:9" ht="17.100000000000001" customHeight="1" x14ac:dyDescent="0.3">
      <c r="B143" s="19"/>
      <c r="C143" s="17"/>
      <c r="D143" s="4">
        <v>139</v>
      </c>
      <c r="E143" s="4">
        <v>20556</v>
      </c>
      <c r="F143" s="4" t="str">
        <f t="shared" si="10"/>
        <v>504C</v>
      </c>
      <c r="G143" s="6" t="str">
        <f>"pUmem_Cmd_TBD_"&amp;F143</f>
        <v>pUmem_Cmd_TBD_504C</v>
      </c>
      <c r="H143" s="6"/>
      <c r="I143" s="7"/>
    </row>
    <row r="144" spans="2:9" ht="17.100000000000001" customHeight="1" x14ac:dyDescent="0.3">
      <c r="B144" s="19"/>
      <c r="C144" s="17" t="s">
        <v>188</v>
      </c>
      <c r="D144" s="4">
        <v>140</v>
      </c>
      <c r="E144" s="4">
        <v>20560</v>
      </c>
      <c r="F144" s="4" t="str">
        <f t="shared" si="10"/>
        <v>5050</v>
      </c>
      <c r="G144" s="5" t="s">
        <v>204</v>
      </c>
      <c r="H144" s="5" t="s">
        <v>2073</v>
      </c>
      <c r="I144" s="4" t="s">
        <v>5</v>
      </c>
    </row>
    <row r="145" spans="2:9" ht="17.100000000000001" customHeight="1" x14ac:dyDescent="0.3">
      <c r="B145" s="19"/>
      <c r="C145" s="17"/>
      <c r="D145" s="4">
        <v>141</v>
      </c>
      <c r="E145" s="4">
        <v>20564</v>
      </c>
      <c r="F145" s="4" t="str">
        <f t="shared" si="10"/>
        <v>5054</v>
      </c>
      <c r="G145" s="5" t="s">
        <v>205</v>
      </c>
      <c r="H145" s="5" t="s">
        <v>2074</v>
      </c>
      <c r="I145" s="4" t="s">
        <v>5</v>
      </c>
    </row>
    <row r="146" spans="2:9" ht="17.100000000000001" customHeight="1" x14ac:dyDescent="0.3">
      <c r="B146" s="19"/>
      <c r="C146" s="17"/>
      <c r="D146" s="4">
        <v>142</v>
      </c>
      <c r="E146" s="4">
        <v>20568</v>
      </c>
      <c r="F146" s="4" t="str">
        <f t="shared" si="10"/>
        <v>5058</v>
      </c>
      <c r="G146" s="5" t="s">
        <v>206</v>
      </c>
      <c r="H146" s="5" t="s">
        <v>2075</v>
      </c>
      <c r="I146" s="4" t="s">
        <v>5</v>
      </c>
    </row>
    <row r="147" spans="2:9" ht="17.100000000000001" customHeight="1" x14ac:dyDescent="0.3">
      <c r="B147" s="19"/>
      <c r="C147" s="17"/>
      <c r="D147" s="4">
        <v>143</v>
      </c>
      <c r="E147" s="4">
        <v>20572</v>
      </c>
      <c r="F147" s="4" t="str">
        <f t="shared" si="10"/>
        <v>505C</v>
      </c>
      <c r="G147" s="5" t="s">
        <v>207</v>
      </c>
      <c r="H147" s="5" t="s">
        <v>2076</v>
      </c>
      <c r="I147" s="4" t="s">
        <v>5</v>
      </c>
    </row>
    <row r="148" spans="2:9" ht="17.100000000000001" customHeight="1" x14ac:dyDescent="0.3">
      <c r="B148" s="19"/>
      <c r="C148" s="17"/>
      <c r="D148" s="4">
        <v>144</v>
      </c>
      <c r="E148" s="4">
        <v>20576</v>
      </c>
      <c r="F148" s="4" t="str">
        <f t="shared" si="10"/>
        <v>5060</v>
      </c>
      <c r="G148" s="5" t="s">
        <v>208</v>
      </c>
      <c r="H148" s="5" t="s">
        <v>2077</v>
      </c>
      <c r="I148" s="4" t="s">
        <v>14</v>
      </c>
    </row>
    <row r="149" spans="2:9" ht="17.100000000000001" customHeight="1" x14ac:dyDescent="0.3">
      <c r="B149" s="19"/>
      <c r="C149" s="17"/>
      <c r="D149" s="4">
        <v>145</v>
      </c>
      <c r="E149" s="4">
        <v>20580</v>
      </c>
      <c r="F149" s="4" t="str">
        <f t="shared" si="10"/>
        <v>5064</v>
      </c>
      <c r="G149" s="5" t="s">
        <v>209</v>
      </c>
      <c r="H149" s="5" t="s">
        <v>2078</v>
      </c>
      <c r="I149" s="4" t="s">
        <v>5</v>
      </c>
    </row>
    <row r="150" spans="2:9" ht="17.100000000000001" customHeight="1" x14ac:dyDescent="0.3">
      <c r="B150" s="19"/>
      <c r="C150" s="17"/>
      <c r="D150" s="4">
        <v>146</v>
      </c>
      <c r="E150" s="4">
        <v>20584</v>
      </c>
      <c r="F150" s="4" t="str">
        <f t="shared" si="10"/>
        <v>5068</v>
      </c>
      <c r="G150" s="5" t="s">
        <v>210</v>
      </c>
      <c r="H150" s="5" t="s">
        <v>2079</v>
      </c>
      <c r="I150" s="4" t="s">
        <v>5</v>
      </c>
    </row>
    <row r="151" spans="2:9" ht="17.100000000000001" customHeight="1" x14ac:dyDescent="0.3">
      <c r="B151" s="19"/>
      <c r="C151" s="17"/>
      <c r="D151" s="4">
        <v>147</v>
      </c>
      <c r="E151" s="4">
        <v>20588</v>
      </c>
      <c r="F151" s="4" t="str">
        <f t="shared" si="10"/>
        <v>506C</v>
      </c>
      <c r="G151" s="5" t="s">
        <v>211</v>
      </c>
      <c r="H151" s="5" t="s">
        <v>2080</v>
      </c>
      <c r="I151" s="4" t="s">
        <v>5</v>
      </c>
    </row>
    <row r="152" spans="2:9" ht="17.100000000000001" customHeight="1" x14ac:dyDescent="0.3">
      <c r="B152" s="19"/>
      <c r="C152" s="17"/>
      <c r="D152" s="4">
        <v>148</v>
      </c>
      <c r="E152" s="4">
        <v>20592</v>
      </c>
      <c r="F152" s="4" t="str">
        <f t="shared" si="10"/>
        <v>5070</v>
      </c>
      <c r="G152" s="5" t="s">
        <v>212</v>
      </c>
      <c r="H152" s="5" t="s">
        <v>2081</v>
      </c>
      <c r="I152" s="4" t="s">
        <v>5</v>
      </c>
    </row>
    <row r="153" spans="2:9" ht="17.100000000000001" customHeight="1" x14ac:dyDescent="0.3">
      <c r="B153" s="19"/>
      <c r="C153" s="17"/>
      <c r="D153" s="4">
        <v>149</v>
      </c>
      <c r="E153" s="4">
        <v>20596</v>
      </c>
      <c r="F153" s="4" t="str">
        <f t="shared" si="10"/>
        <v>5074</v>
      </c>
      <c r="G153" s="5" t="s">
        <v>213</v>
      </c>
      <c r="H153" s="5" t="s">
        <v>2082</v>
      </c>
      <c r="I153" s="4" t="s">
        <v>5</v>
      </c>
    </row>
    <row r="154" spans="2:9" ht="17.100000000000001" customHeight="1" x14ac:dyDescent="0.3">
      <c r="B154" s="19"/>
      <c r="C154" s="17"/>
      <c r="D154" s="4">
        <v>150</v>
      </c>
      <c r="E154" s="4">
        <v>20600</v>
      </c>
      <c r="F154" s="4" t="str">
        <f t="shared" si="10"/>
        <v>5078</v>
      </c>
      <c r="G154" s="5" t="s">
        <v>214</v>
      </c>
      <c r="H154" s="5" t="s">
        <v>2083</v>
      </c>
      <c r="I154" s="4" t="s">
        <v>14</v>
      </c>
    </row>
    <row r="155" spans="2:9" ht="17.100000000000001" customHeight="1" x14ac:dyDescent="0.3">
      <c r="B155" s="19"/>
      <c r="C155" s="17"/>
      <c r="D155" s="4">
        <v>151</v>
      </c>
      <c r="E155" s="4">
        <v>20604</v>
      </c>
      <c r="F155" s="4" t="str">
        <f t="shared" si="10"/>
        <v>507C</v>
      </c>
      <c r="G155" s="5" t="s">
        <v>215</v>
      </c>
      <c r="H155" s="5" t="s">
        <v>2084</v>
      </c>
      <c r="I155" s="4" t="s">
        <v>14</v>
      </c>
    </row>
    <row r="156" spans="2:9" ht="17.100000000000001" customHeight="1" x14ac:dyDescent="0.3">
      <c r="B156" s="19"/>
      <c r="C156" s="17"/>
      <c r="D156" s="4">
        <v>152</v>
      </c>
      <c r="E156" s="4">
        <v>20608</v>
      </c>
      <c r="F156" s="4" t="str">
        <f t="shared" si="10"/>
        <v>5080</v>
      </c>
      <c r="G156" s="5" t="s">
        <v>216</v>
      </c>
      <c r="H156" s="5" t="s">
        <v>2085</v>
      </c>
      <c r="I156" s="4" t="s">
        <v>15</v>
      </c>
    </row>
    <row r="157" spans="2:9" ht="17.100000000000001" customHeight="1" x14ac:dyDescent="0.3">
      <c r="B157" s="19"/>
      <c r="C157" s="17"/>
      <c r="D157" s="4">
        <v>153</v>
      </c>
      <c r="E157" s="4">
        <v>20612</v>
      </c>
      <c r="F157" s="4" t="str">
        <f t="shared" si="10"/>
        <v>5084</v>
      </c>
      <c r="G157" s="5" t="s">
        <v>217</v>
      </c>
      <c r="H157" s="5" t="s">
        <v>2086</v>
      </c>
      <c r="I157" s="4" t="s">
        <v>9</v>
      </c>
    </row>
    <row r="158" spans="2:9" ht="17.100000000000001" customHeight="1" x14ac:dyDescent="0.3">
      <c r="B158" s="19"/>
      <c r="C158" s="17"/>
      <c r="D158" s="4">
        <v>154</v>
      </c>
      <c r="E158" s="4">
        <v>20616</v>
      </c>
      <c r="F158" s="4" t="str">
        <f t="shared" si="10"/>
        <v>5088</v>
      </c>
      <c r="G158" s="5" t="s">
        <v>218</v>
      </c>
      <c r="H158" s="5" t="s">
        <v>2087</v>
      </c>
      <c r="I158" s="4" t="s">
        <v>9</v>
      </c>
    </row>
    <row r="159" spans="2:9" ht="17.100000000000001" customHeight="1" x14ac:dyDescent="0.3">
      <c r="B159" s="19"/>
      <c r="C159" s="17"/>
      <c r="D159" s="4">
        <v>155</v>
      </c>
      <c r="E159" s="4">
        <v>20620</v>
      </c>
      <c r="F159" s="4" t="str">
        <f t="shared" si="10"/>
        <v>508C</v>
      </c>
      <c r="G159" s="6" t="str">
        <f>"pUmem_Cmd_TBD_"&amp;F159</f>
        <v>pUmem_Cmd_TBD_508C</v>
      </c>
      <c r="H159" s="6"/>
      <c r="I159" s="7"/>
    </row>
    <row r="160" spans="2:9" ht="17.100000000000001" customHeight="1" x14ac:dyDescent="0.3">
      <c r="B160" s="19"/>
      <c r="C160" s="17"/>
      <c r="D160" s="4">
        <v>156</v>
      </c>
      <c r="E160" s="4">
        <v>20624</v>
      </c>
      <c r="F160" s="4" t="str">
        <f t="shared" si="10"/>
        <v>5090</v>
      </c>
      <c r="G160" s="6" t="str">
        <f t="shared" ref="G160:G162" si="12">"pUmem_Cmd_TBD_"&amp;F160</f>
        <v>pUmem_Cmd_TBD_5090</v>
      </c>
      <c r="H160" s="6"/>
      <c r="I160" s="7"/>
    </row>
    <row r="161" spans="2:9" ht="17.100000000000001" customHeight="1" x14ac:dyDescent="0.3">
      <c r="B161" s="19"/>
      <c r="C161" s="17"/>
      <c r="D161" s="4">
        <v>157</v>
      </c>
      <c r="E161" s="4">
        <v>20628</v>
      </c>
      <c r="F161" s="4" t="str">
        <f t="shared" si="10"/>
        <v>5094</v>
      </c>
      <c r="G161" s="6" t="str">
        <f t="shared" si="12"/>
        <v>pUmem_Cmd_TBD_5094</v>
      </c>
      <c r="H161" s="6"/>
      <c r="I161" s="7"/>
    </row>
    <row r="162" spans="2:9" ht="17.100000000000001" customHeight="1" x14ac:dyDescent="0.3">
      <c r="B162" s="19"/>
      <c r="C162" s="17"/>
      <c r="D162" s="4">
        <v>158</v>
      </c>
      <c r="E162" s="4">
        <v>20632</v>
      </c>
      <c r="F162" s="4" t="str">
        <f t="shared" si="10"/>
        <v>5098</v>
      </c>
      <c r="G162" s="6" t="str">
        <f t="shared" si="12"/>
        <v>pUmem_Cmd_TBD_5098</v>
      </c>
      <c r="H162" s="6"/>
      <c r="I162" s="7"/>
    </row>
    <row r="163" spans="2:9" ht="17.100000000000001" customHeight="1" x14ac:dyDescent="0.3">
      <c r="B163" s="19"/>
      <c r="C163" s="17"/>
      <c r="D163" s="4">
        <v>159</v>
      </c>
      <c r="E163" s="4">
        <v>20636</v>
      </c>
      <c r="F163" s="4" t="str">
        <f t="shared" si="10"/>
        <v>509C</v>
      </c>
      <c r="G163" s="6" t="str">
        <f>"pUmem_Cmd_TBD_"&amp;F163</f>
        <v>pUmem_Cmd_TBD_509C</v>
      </c>
      <c r="H163" s="6"/>
      <c r="I163" s="7"/>
    </row>
    <row r="164" spans="2:9" ht="17.100000000000001" customHeight="1" x14ac:dyDescent="0.3">
      <c r="B164" s="19" t="s">
        <v>13</v>
      </c>
      <c r="C164" s="17" t="s">
        <v>283</v>
      </c>
      <c r="D164" s="4">
        <v>160</v>
      </c>
      <c r="E164" s="4">
        <v>20640</v>
      </c>
      <c r="F164" s="4" t="str">
        <f t="shared" si="10"/>
        <v>50A0</v>
      </c>
      <c r="G164" s="5" t="s">
        <v>307</v>
      </c>
      <c r="H164" s="5" t="s">
        <v>2073</v>
      </c>
      <c r="I164" s="4" t="s">
        <v>5</v>
      </c>
    </row>
    <row r="165" spans="2:9" ht="17.100000000000001" customHeight="1" x14ac:dyDescent="0.3">
      <c r="B165" s="19"/>
      <c r="C165" s="17"/>
      <c r="D165" s="4">
        <v>161</v>
      </c>
      <c r="E165" s="4">
        <v>20644</v>
      </c>
      <c r="F165" s="4" t="str">
        <f t="shared" si="10"/>
        <v>50A4</v>
      </c>
      <c r="G165" s="5" t="s">
        <v>308</v>
      </c>
      <c r="H165" s="5" t="s">
        <v>2074</v>
      </c>
      <c r="I165" s="4" t="s">
        <v>5</v>
      </c>
    </row>
    <row r="166" spans="2:9" ht="17.100000000000001" customHeight="1" x14ac:dyDescent="0.3">
      <c r="B166" s="19"/>
      <c r="C166" s="17"/>
      <c r="D166" s="4">
        <v>162</v>
      </c>
      <c r="E166" s="4">
        <v>20648</v>
      </c>
      <c r="F166" s="4" t="str">
        <f t="shared" si="10"/>
        <v>50A8</v>
      </c>
      <c r="G166" s="5" t="s">
        <v>309</v>
      </c>
      <c r="H166" s="5" t="s">
        <v>2075</v>
      </c>
      <c r="I166" s="4" t="s">
        <v>5</v>
      </c>
    </row>
    <row r="167" spans="2:9" ht="17.100000000000001" customHeight="1" x14ac:dyDescent="0.3">
      <c r="B167" s="19"/>
      <c r="C167" s="17"/>
      <c r="D167" s="4">
        <v>163</v>
      </c>
      <c r="E167" s="4">
        <v>20652</v>
      </c>
      <c r="F167" s="4" t="str">
        <f t="shared" si="10"/>
        <v>50AC</v>
      </c>
      <c r="G167" s="5" t="s">
        <v>310</v>
      </c>
      <c r="H167" s="5" t="s">
        <v>2076</v>
      </c>
      <c r="I167" s="4" t="s">
        <v>5</v>
      </c>
    </row>
    <row r="168" spans="2:9" ht="17.100000000000001" customHeight="1" x14ac:dyDescent="0.3">
      <c r="B168" s="19"/>
      <c r="C168" s="17"/>
      <c r="D168" s="4">
        <v>164</v>
      </c>
      <c r="E168" s="4">
        <v>20656</v>
      </c>
      <c r="F168" s="4" t="str">
        <f t="shared" si="10"/>
        <v>50B0</v>
      </c>
      <c r="G168" s="5" t="s">
        <v>311</v>
      </c>
      <c r="H168" s="5" t="s">
        <v>2077</v>
      </c>
      <c r="I168" s="4" t="s">
        <v>14</v>
      </c>
    </row>
    <row r="169" spans="2:9" ht="17.100000000000001" customHeight="1" x14ac:dyDescent="0.3">
      <c r="B169" s="19"/>
      <c r="C169" s="17"/>
      <c r="D169" s="4">
        <v>165</v>
      </c>
      <c r="E169" s="4">
        <v>20660</v>
      </c>
      <c r="F169" s="4" t="str">
        <f t="shared" si="10"/>
        <v>50B4</v>
      </c>
      <c r="G169" s="5" t="s">
        <v>312</v>
      </c>
      <c r="H169" s="5" t="s">
        <v>2078</v>
      </c>
      <c r="I169" s="4" t="s">
        <v>5</v>
      </c>
    </row>
    <row r="170" spans="2:9" ht="17.100000000000001" customHeight="1" x14ac:dyDescent="0.3">
      <c r="B170" s="19"/>
      <c r="C170" s="17"/>
      <c r="D170" s="4">
        <v>166</v>
      </c>
      <c r="E170" s="4">
        <v>20664</v>
      </c>
      <c r="F170" s="4" t="str">
        <f t="shared" si="10"/>
        <v>50B8</v>
      </c>
      <c r="G170" s="5" t="s">
        <v>313</v>
      </c>
      <c r="H170" s="5" t="s">
        <v>2079</v>
      </c>
      <c r="I170" s="4" t="s">
        <v>5</v>
      </c>
    </row>
    <row r="171" spans="2:9" ht="17.100000000000001" customHeight="1" x14ac:dyDescent="0.3">
      <c r="B171" s="19"/>
      <c r="C171" s="17"/>
      <c r="D171" s="4">
        <v>167</v>
      </c>
      <c r="E171" s="4">
        <v>20668</v>
      </c>
      <c r="F171" s="4" t="str">
        <f t="shared" si="10"/>
        <v>50BC</v>
      </c>
      <c r="G171" s="5" t="s">
        <v>314</v>
      </c>
      <c r="H171" s="5" t="s">
        <v>2080</v>
      </c>
      <c r="I171" s="4" t="s">
        <v>5</v>
      </c>
    </row>
    <row r="172" spans="2:9" ht="17.100000000000001" customHeight="1" x14ac:dyDescent="0.3">
      <c r="B172" s="19"/>
      <c r="C172" s="17"/>
      <c r="D172" s="4">
        <v>168</v>
      </c>
      <c r="E172" s="4">
        <v>20672</v>
      </c>
      <c r="F172" s="4" t="str">
        <f t="shared" si="10"/>
        <v>50C0</v>
      </c>
      <c r="G172" s="5" t="s">
        <v>315</v>
      </c>
      <c r="H172" s="5" t="s">
        <v>2081</v>
      </c>
      <c r="I172" s="4" t="s">
        <v>5</v>
      </c>
    </row>
    <row r="173" spans="2:9" ht="17.100000000000001" customHeight="1" x14ac:dyDescent="0.3">
      <c r="B173" s="19"/>
      <c r="C173" s="17"/>
      <c r="D173" s="4">
        <v>169</v>
      </c>
      <c r="E173" s="4">
        <v>20676</v>
      </c>
      <c r="F173" s="4" t="str">
        <f t="shared" si="10"/>
        <v>50C4</v>
      </c>
      <c r="G173" s="5" t="s">
        <v>316</v>
      </c>
      <c r="H173" s="5" t="s">
        <v>2082</v>
      </c>
      <c r="I173" s="4" t="s">
        <v>5</v>
      </c>
    </row>
    <row r="174" spans="2:9" ht="17.100000000000001" customHeight="1" x14ac:dyDescent="0.3">
      <c r="B174" s="19"/>
      <c r="C174" s="17"/>
      <c r="D174" s="4">
        <v>170</v>
      </c>
      <c r="E174" s="4">
        <v>20680</v>
      </c>
      <c r="F174" s="4" t="str">
        <f t="shared" si="10"/>
        <v>50C8</v>
      </c>
      <c r="G174" s="5" t="s">
        <v>317</v>
      </c>
      <c r="H174" s="5" t="s">
        <v>2083</v>
      </c>
      <c r="I174" s="4" t="s">
        <v>14</v>
      </c>
    </row>
    <row r="175" spans="2:9" ht="17.100000000000001" customHeight="1" x14ac:dyDescent="0.3">
      <c r="B175" s="19"/>
      <c r="C175" s="17"/>
      <c r="D175" s="4">
        <v>171</v>
      </c>
      <c r="E175" s="4">
        <v>20684</v>
      </c>
      <c r="F175" s="4" t="str">
        <f t="shared" si="10"/>
        <v>50CC</v>
      </c>
      <c r="G175" s="5" t="s">
        <v>318</v>
      </c>
      <c r="H175" s="5" t="s">
        <v>2084</v>
      </c>
      <c r="I175" s="4" t="s">
        <v>14</v>
      </c>
    </row>
    <row r="176" spans="2:9" ht="17.100000000000001" customHeight="1" x14ac:dyDescent="0.3">
      <c r="B176" s="19"/>
      <c r="C176" s="17"/>
      <c r="D176" s="4">
        <v>172</v>
      </c>
      <c r="E176" s="4">
        <v>20688</v>
      </c>
      <c r="F176" s="4" t="str">
        <f t="shared" si="10"/>
        <v>50D0</v>
      </c>
      <c r="G176" s="5" t="s">
        <v>319</v>
      </c>
      <c r="H176" s="5" t="s">
        <v>2085</v>
      </c>
      <c r="I176" s="4" t="s">
        <v>15</v>
      </c>
    </row>
    <row r="177" spans="2:9" ht="17.100000000000001" customHeight="1" x14ac:dyDescent="0.3">
      <c r="B177" s="19"/>
      <c r="C177" s="17"/>
      <c r="D177" s="4">
        <v>173</v>
      </c>
      <c r="E177" s="4">
        <v>20692</v>
      </c>
      <c r="F177" s="4" t="str">
        <f t="shared" si="10"/>
        <v>50D4</v>
      </c>
      <c r="G177" s="5" t="s">
        <v>320</v>
      </c>
      <c r="H177" s="5" t="s">
        <v>2086</v>
      </c>
      <c r="I177" s="4" t="s">
        <v>9</v>
      </c>
    </row>
    <row r="178" spans="2:9" ht="17.100000000000001" customHeight="1" x14ac:dyDescent="0.3">
      <c r="B178" s="19"/>
      <c r="C178" s="17"/>
      <c r="D178" s="4">
        <v>174</v>
      </c>
      <c r="E178" s="4">
        <v>20696</v>
      </c>
      <c r="F178" s="4" t="str">
        <f t="shared" si="10"/>
        <v>50D8</v>
      </c>
      <c r="G178" s="5" t="s">
        <v>321</v>
      </c>
      <c r="H178" s="5" t="s">
        <v>2087</v>
      </c>
      <c r="I178" s="4" t="s">
        <v>9</v>
      </c>
    </row>
    <row r="179" spans="2:9" ht="17.100000000000001" customHeight="1" x14ac:dyDescent="0.3">
      <c r="B179" s="19"/>
      <c r="C179" s="17"/>
      <c r="D179" s="4">
        <v>175</v>
      </c>
      <c r="E179" s="4">
        <v>20700</v>
      </c>
      <c r="F179" s="4" t="str">
        <f t="shared" si="10"/>
        <v>50DC</v>
      </c>
      <c r="G179" s="6" t="str">
        <f>"pUmem_Cmd_TBD_"&amp;F179</f>
        <v>pUmem_Cmd_TBD_50DC</v>
      </c>
      <c r="H179" s="6"/>
      <c r="I179" s="7"/>
    </row>
    <row r="180" spans="2:9" ht="17.100000000000001" customHeight="1" x14ac:dyDescent="0.3">
      <c r="B180" s="19"/>
      <c r="C180" s="17"/>
      <c r="D180" s="4">
        <v>176</v>
      </c>
      <c r="E180" s="4">
        <v>20704</v>
      </c>
      <c r="F180" s="4" t="str">
        <f t="shared" si="10"/>
        <v>50E0</v>
      </c>
      <c r="G180" s="6" t="str">
        <f t="shared" ref="G180:G182" si="13">"pUmem_Cmd_TBD_"&amp;F180</f>
        <v>pUmem_Cmd_TBD_50E0</v>
      </c>
      <c r="H180" s="6"/>
      <c r="I180" s="7"/>
    </row>
    <row r="181" spans="2:9" ht="17.100000000000001" customHeight="1" x14ac:dyDescent="0.3">
      <c r="B181" s="19"/>
      <c r="C181" s="17"/>
      <c r="D181" s="4">
        <v>177</v>
      </c>
      <c r="E181" s="4">
        <v>20708</v>
      </c>
      <c r="F181" s="4" t="str">
        <f t="shared" si="10"/>
        <v>50E4</v>
      </c>
      <c r="G181" s="6" t="str">
        <f t="shared" si="13"/>
        <v>pUmem_Cmd_TBD_50E4</v>
      </c>
      <c r="H181" s="6"/>
      <c r="I181" s="7"/>
    </row>
    <row r="182" spans="2:9" ht="17.100000000000001" customHeight="1" x14ac:dyDescent="0.3">
      <c r="B182" s="19"/>
      <c r="C182" s="17"/>
      <c r="D182" s="4">
        <v>178</v>
      </c>
      <c r="E182" s="4">
        <v>20712</v>
      </c>
      <c r="F182" s="4" t="str">
        <f t="shared" si="10"/>
        <v>50E8</v>
      </c>
      <c r="G182" s="6" t="str">
        <f t="shared" si="13"/>
        <v>pUmem_Cmd_TBD_50E8</v>
      </c>
      <c r="H182" s="6"/>
      <c r="I182" s="7"/>
    </row>
    <row r="183" spans="2:9" ht="17.100000000000001" customHeight="1" x14ac:dyDescent="0.3">
      <c r="B183" s="19"/>
      <c r="C183" s="17"/>
      <c r="D183" s="4">
        <v>179</v>
      </c>
      <c r="E183" s="4">
        <v>20716</v>
      </c>
      <c r="F183" s="4" t="str">
        <f t="shared" si="10"/>
        <v>50EC</v>
      </c>
      <c r="G183" s="6" t="str">
        <f>"pUmem_Cmd_TBD_"&amp;F183</f>
        <v>pUmem_Cmd_TBD_50EC</v>
      </c>
      <c r="H183" s="6"/>
      <c r="I183" s="7"/>
    </row>
    <row r="184" spans="2:9" ht="17.100000000000001" customHeight="1" x14ac:dyDescent="0.3">
      <c r="B184" s="19"/>
      <c r="C184" s="17" t="s">
        <v>284</v>
      </c>
      <c r="D184" s="4">
        <v>180</v>
      </c>
      <c r="E184" s="4">
        <v>20720</v>
      </c>
      <c r="F184" s="4" t="str">
        <f t="shared" si="10"/>
        <v>50F0</v>
      </c>
      <c r="G184" s="5" t="s">
        <v>322</v>
      </c>
      <c r="H184" s="5" t="s">
        <v>2073</v>
      </c>
      <c r="I184" s="4" t="s">
        <v>5</v>
      </c>
    </row>
    <row r="185" spans="2:9" ht="17.100000000000001" customHeight="1" x14ac:dyDescent="0.3">
      <c r="B185" s="19"/>
      <c r="C185" s="17"/>
      <c r="D185" s="4">
        <v>181</v>
      </c>
      <c r="E185" s="4">
        <v>20724</v>
      </c>
      <c r="F185" s="4" t="str">
        <f t="shared" si="10"/>
        <v>50F4</v>
      </c>
      <c r="G185" s="5" t="s">
        <v>323</v>
      </c>
      <c r="H185" s="5" t="s">
        <v>2074</v>
      </c>
      <c r="I185" s="4" t="s">
        <v>5</v>
      </c>
    </row>
    <row r="186" spans="2:9" ht="17.100000000000001" customHeight="1" x14ac:dyDescent="0.3">
      <c r="B186" s="19"/>
      <c r="C186" s="17"/>
      <c r="D186" s="4">
        <v>182</v>
      </c>
      <c r="E186" s="4">
        <v>20728</v>
      </c>
      <c r="F186" s="4" t="str">
        <f t="shared" si="10"/>
        <v>50F8</v>
      </c>
      <c r="G186" s="5" t="s">
        <v>324</v>
      </c>
      <c r="H186" s="5" t="s">
        <v>2075</v>
      </c>
      <c r="I186" s="4" t="s">
        <v>5</v>
      </c>
    </row>
    <row r="187" spans="2:9" ht="17.100000000000001" customHeight="1" x14ac:dyDescent="0.3">
      <c r="B187" s="19"/>
      <c r="C187" s="17"/>
      <c r="D187" s="4">
        <v>183</v>
      </c>
      <c r="E187" s="4">
        <v>20732</v>
      </c>
      <c r="F187" s="4" t="str">
        <f t="shared" si="10"/>
        <v>50FC</v>
      </c>
      <c r="G187" s="5" t="s">
        <v>325</v>
      </c>
      <c r="H187" s="5" t="s">
        <v>2076</v>
      </c>
      <c r="I187" s="4" t="s">
        <v>5</v>
      </c>
    </row>
    <row r="188" spans="2:9" ht="17.100000000000001" customHeight="1" x14ac:dyDescent="0.3">
      <c r="B188" s="19"/>
      <c r="C188" s="17"/>
      <c r="D188" s="4">
        <v>184</v>
      </c>
      <c r="E188" s="4">
        <v>20736</v>
      </c>
      <c r="F188" s="4" t="str">
        <f t="shared" si="10"/>
        <v>5100</v>
      </c>
      <c r="G188" s="5" t="s">
        <v>326</v>
      </c>
      <c r="H188" s="5" t="s">
        <v>2077</v>
      </c>
      <c r="I188" s="4" t="s">
        <v>14</v>
      </c>
    </row>
    <row r="189" spans="2:9" ht="17.100000000000001" customHeight="1" x14ac:dyDescent="0.3">
      <c r="B189" s="19"/>
      <c r="C189" s="17"/>
      <c r="D189" s="4">
        <v>185</v>
      </c>
      <c r="E189" s="4">
        <v>20740</v>
      </c>
      <c r="F189" s="4" t="str">
        <f t="shared" si="10"/>
        <v>5104</v>
      </c>
      <c r="G189" s="5" t="s">
        <v>327</v>
      </c>
      <c r="H189" s="5" t="s">
        <v>2078</v>
      </c>
      <c r="I189" s="4" t="s">
        <v>5</v>
      </c>
    </row>
    <row r="190" spans="2:9" ht="17.100000000000001" customHeight="1" x14ac:dyDescent="0.3">
      <c r="B190" s="19"/>
      <c r="C190" s="17"/>
      <c r="D190" s="4">
        <v>186</v>
      </c>
      <c r="E190" s="4">
        <v>20744</v>
      </c>
      <c r="F190" s="4" t="str">
        <f t="shared" si="10"/>
        <v>5108</v>
      </c>
      <c r="G190" s="5" t="s">
        <v>328</v>
      </c>
      <c r="H190" s="5" t="s">
        <v>2079</v>
      </c>
      <c r="I190" s="4" t="s">
        <v>5</v>
      </c>
    </row>
    <row r="191" spans="2:9" ht="17.100000000000001" customHeight="1" x14ac:dyDescent="0.3">
      <c r="B191" s="19"/>
      <c r="C191" s="17"/>
      <c r="D191" s="4">
        <v>187</v>
      </c>
      <c r="E191" s="4">
        <v>20748</v>
      </c>
      <c r="F191" s="4" t="str">
        <f t="shared" si="10"/>
        <v>510C</v>
      </c>
      <c r="G191" s="5" t="s">
        <v>329</v>
      </c>
      <c r="H191" s="5" t="s">
        <v>2080</v>
      </c>
      <c r="I191" s="4" t="s">
        <v>5</v>
      </c>
    </row>
    <row r="192" spans="2:9" ht="17.100000000000001" customHeight="1" x14ac:dyDescent="0.3">
      <c r="B192" s="19"/>
      <c r="C192" s="17"/>
      <c r="D192" s="4">
        <v>188</v>
      </c>
      <c r="E192" s="4">
        <v>20752</v>
      </c>
      <c r="F192" s="4" t="str">
        <f t="shared" si="10"/>
        <v>5110</v>
      </c>
      <c r="G192" s="5" t="s">
        <v>330</v>
      </c>
      <c r="H192" s="5" t="s">
        <v>2081</v>
      </c>
      <c r="I192" s="4" t="s">
        <v>5</v>
      </c>
    </row>
    <row r="193" spans="2:9" ht="17.100000000000001" customHeight="1" x14ac:dyDescent="0.3">
      <c r="B193" s="19"/>
      <c r="C193" s="17"/>
      <c r="D193" s="4">
        <v>189</v>
      </c>
      <c r="E193" s="4">
        <v>20756</v>
      </c>
      <c r="F193" s="4" t="str">
        <f t="shared" si="10"/>
        <v>5114</v>
      </c>
      <c r="G193" s="5" t="s">
        <v>331</v>
      </c>
      <c r="H193" s="5" t="s">
        <v>2082</v>
      </c>
      <c r="I193" s="4" t="s">
        <v>5</v>
      </c>
    </row>
    <row r="194" spans="2:9" ht="17.100000000000001" customHeight="1" x14ac:dyDescent="0.3">
      <c r="B194" s="19"/>
      <c r="C194" s="17"/>
      <c r="D194" s="4">
        <v>190</v>
      </c>
      <c r="E194" s="4">
        <v>20760</v>
      </c>
      <c r="F194" s="4" t="str">
        <f t="shared" si="10"/>
        <v>5118</v>
      </c>
      <c r="G194" s="5" t="s">
        <v>332</v>
      </c>
      <c r="H194" s="5" t="s">
        <v>2083</v>
      </c>
      <c r="I194" s="4" t="s">
        <v>14</v>
      </c>
    </row>
    <row r="195" spans="2:9" ht="17.100000000000001" customHeight="1" x14ac:dyDescent="0.3">
      <c r="B195" s="19"/>
      <c r="C195" s="17"/>
      <c r="D195" s="4">
        <v>191</v>
      </c>
      <c r="E195" s="4">
        <v>20764</v>
      </c>
      <c r="F195" s="4" t="str">
        <f t="shared" si="10"/>
        <v>511C</v>
      </c>
      <c r="G195" s="5" t="s">
        <v>333</v>
      </c>
      <c r="H195" s="5" t="s">
        <v>2084</v>
      </c>
      <c r="I195" s="4" t="s">
        <v>14</v>
      </c>
    </row>
    <row r="196" spans="2:9" ht="17.100000000000001" customHeight="1" x14ac:dyDescent="0.3">
      <c r="B196" s="19"/>
      <c r="C196" s="17"/>
      <c r="D196" s="4">
        <v>192</v>
      </c>
      <c r="E196" s="4">
        <v>20768</v>
      </c>
      <c r="F196" s="4" t="str">
        <f t="shared" si="10"/>
        <v>5120</v>
      </c>
      <c r="G196" s="5" t="s">
        <v>334</v>
      </c>
      <c r="H196" s="5" t="s">
        <v>2085</v>
      </c>
      <c r="I196" s="4" t="s">
        <v>15</v>
      </c>
    </row>
    <row r="197" spans="2:9" ht="17.100000000000001" customHeight="1" x14ac:dyDescent="0.3">
      <c r="B197" s="19"/>
      <c r="C197" s="17"/>
      <c r="D197" s="4">
        <v>193</v>
      </c>
      <c r="E197" s="4">
        <v>20772</v>
      </c>
      <c r="F197" s="4" t="str">
        <f t="shared" si="10"/>
        <v>5124</v>
      </c>
      <c r="G197" s="5" t="s">
        <v>335</v>
      </c>
      <c r="H197" s="5" t="s">
        <v>2086</v>
      </c>
      <c r="I197" s="4" t="s">
        <v>9</v>
      </c>
    </row>
    <row r="198" spans="2:9" ht="17.100000000000001" customHeight="1" x14ac:dyDescent="0.3">
      <c r="B198" s="19"/>
      <c r="C198" s="17"/>
      <c r="D198" s="4">
        <v>194</v>
      </c>
      <c r="E198" s="4">
        <v>20776</v>
      </c>
      <c r="F198" s="4" t="str">
        <f t="shared" si="10"/>
        <v>5128</v>
      </c>
      <c r="G198" s="5" t="s">
        <v>336</v>
      </c>
      <c r="H198" s="5" t="s">
        <v>2087</v>
      </c>
      <c r="I198" s="4" t="s">
        <v>9</v>
      </c>
    </row>
    <row r="199" spans="2:9" ht="17.100000000000001" customHeight="1" x14ac:dyDescent="0.3">
      <c r="B199" s="19"/>
      <c r="C199" s="17"/>
      <c r="D199" s="4">
        <v>195</v>
      </c>
      <c r="E199" s="4">
        <v>20780</v>
      </c>
      <c r="F199" s="4" t="str">
        <f t="shared" si="10"/>
        <v>512C</v>
      </c>
      <c r="G199" s="6" t="str">
        <f>"pUmem_Cmd_TBD_"&amp;F199</f>
        <v>pUmem_Cmd_TBD_512C</v>
      </c>
      <c r="H199" s="6"/>
      <c r="I199" s="7"/>
    </row>
    <row r="200" spans="2:9" ht="17.100000000000001" customHeight="1" x14ac:dyDescent="0.3">
      <c r="B200" s="19"/>
      <c r="C200" s="17"/>
      <c r="D200" s="4">
        <v>196</v>
      </c>
      <c r="E200" s="4">
        <v>20784</v>
      </c>
      <c r="F200" s="4" t="str">
        <f t="shared" si="10"/>
        <v>5130</v>
      </c>
      <c r="G200" s="6" t="str">
        <f t="shared" ref="G200:G202" si="14">"pUmem_Cmd_TBD_"&amp;F200</f>
        <v>pUmem_Cmd_TBD_5130</v>
      </c>
      <c r="H200" s="6"/>
      <c r="I200" s="7"/>
    </row>
    <row r="201" spans="2:9" ht="17.100000000000001" customHeight="1" x14ac:dyDescent="0.3">
      <c r="B201" s="19"/>
      <c r="C201" s="17"/>
      <c r="D201" s="4">
        <v>197</v>
      </c>
      <c r="E201" s="4">
        <v>20788</v>
      </c>
      <c r="F201" s="4" t="str">
        <f t="shared" ref="F201:F264" si="15">DEC2HEX(E201)</f>
        <v>5134</v>
      </c>
      <c r="G201" s="6" t="str">
        <f t="shared" si="14"/>
        <v>pUmem_Cmd_TBD_5134</v>
      </c>
      <c r="H201" s="6"/>
      <c r="I201" s="7"/>
    </row>
    <row r="202" spans="2:9" ht="17.100000000000001" customHeight="1" x14ac:dyDescent="0.3">
      <c r="B202" s="19"/>
      <c r="C202" s="17"/>
      <c r="D202" s="4">
        <v>198</v>
      </c>
      <c r="E202" s="4">
        <v>20792</v>
      </c>
      <c r="F202" s="4" t="str">
        <f t="shared" si="15"/>
        <v>5138</v>
      </c>
      <c r="G202" s="6" t="str">
        <f t="shared" si="14"/>
        <v>pUmem_Cmd_TBD_5138</v>
      </c>
      <c r="H202" s="6"/>
      <c r="I202" s="7"/>
    </row>
    <row r="203" spans="2:9" ht="17.100000000000001" customHeight="1" x14ac:dyDescent="0.3">
      <c r="B203" s="19"/>
      <c r="C203" s="17"/>
      <c r="D203" s="4">
        <v>199</v>
      </c>
      <c r="E203" s="4">
        <v>20796</v>
      </c>
      <c r="F203" s="4" t="str">
        <f t="shared" si="15"/>
        <v>513C</v>
      </c>
      <c r="G203" s="6" t="str">
        <f>"pUmem_Cmd_TBD_"&amp;F203</f>
        <v>pUmem_Cmd_TBD_513C</v>
      </c>
      <c r="H203" s="6"/>
      <c r="I203" s="7"/>
    </row>
    <row r="204" spans="2:9" ht="17.100000000000001" customHeight="1" x14ac:dyDescent="0.3">
      <c r="B204" s="19"/>
      <c r="C204" s="17" t="s">
        <v>285</v>
      </c>
      <c r="D204" s="4">
        <v>200</v>
      </c>
      <c r="E204" s="4">
        <v>20800</v>
      </c>
      <c r="F204" s="4" t="str">
        <f t="shared" si="15"/>
        <v>5140</v>
      </c>
      <c r="G204" s="5" t="s">
        <v>337</v>
      </c>
      <c r="H204" s="5" t="s">
        <v>2073</v>
      </c>
      <c r="I204" s="4" t="s">
        <v>5</v>
      </c>
    </row>
    <row r="205" spans="2:9" ht="17.100000000000001" customHeight="1" x14ac:dyDescent="0.3">
      <c r="B205" s="19"/>
      <c r="C205" s="17"/>
      <c r="D205" s="4">
        <v>201</v>
      </c>
      <c r="E205" s="4">
        <v>20804</v>
      </c>
      <c r="F205" s="4" t="str">
        <f t="shared" si="15"/>
        <v>5144</v>
      </c>
      <c r="G205" s="5" t="s">
        <v>338</v>
      </c>
      <c r="H205" s="5" t="s">
        <v>2074</v>
      </c>
      <c r="I205" s="4" t="s">
        <v>5</v>
      </c>
    </row>
    <row r="206" spans="2:9" ht="17.100000000000001" customHeight="1" x14ac:dyDescent="0.3">
      <c r="B206" s="19"/>
      <c r="C206" s="17"/>
      <c r="D206" s="4">
        <v>202</v>
      </c>
      <c r="E206" s="4">
        <v>20808</v>
      </c>
      <c r="F206" s="4" t="str">
        <f t="shared" si="15"/>
        <v>5148</v>
      </c>
      <c r="G206" s="5" t="s">
        <v>339</v>
      </c>
      <c r="H206" s="5" t="s">
        <v>2075</v>
      </c>
      <c r="I206" s="4" t="s">
        <v>5</v>
      </c>
    </row>
    <row r="207" spans="2:9" ht="17.100000000000001" customHeight="1" x14ac:dyDescent="0.3">
      <c r="B207" s="19"/>
      <c r="C207" s="17"/>
      <c r="D207" s="4">
        <v>203</v>
      </c>
      <c r="E207" s="4">
        <v>20812</v>
      </c>
      <c r="F207" s="4" t="str">
        <f t="shared" si="15"/>
        <v>514C</v>
      </c>
      <c r="G207" s="5" t="s">
        <v>340</v>
      </c>
      <c r="H207" s="5" t="s">
        <v>2076</v>
      </c>
      <c r="I207" s="4" t="s">
        <v>5</v>
      </c>
    </row>
    <row r="208" spans="2:9" ht="17.100000000000001" customHeight="1" x14ac:dyDescent="0.3">
      <c r="B208" s="19"/>
      <c r="C208" s="17"/>
      <c r="D208" s="4">
        <v>204</v>
      </c>
      <c r="E208" s="4">
        <v>20816</v>
      </c>
      <c r="F208" s="4" t="str">
        <f t="shared" si="15"/>
        <v>5150</v>
      </c>
      <c r="G208" s="5" t="s">
        <v>341</v>
      </c>
      <c r="H208" s="5" t="s">
        <v>2077</v>
      </c>
      <c r="I208" s="4" t="s">
        <v>14</v>
      </c>
    </row>
    <row r="209" spans="2:9" ht="17.100000000000001" customHeight="1" x14ac:dyDescent="0.3">
      <c r="B209" s="19"/>
      <c r="C209" s="17"/>
      <c r="D209" s="4">
        <v>205</v>
      </c>
      <c r="E209" s="4">
        <v>20820</v>
      </c>
      <c r="F209" s="4" t="str">
        <f t="shared" si="15"/>
        <v>5154</v>
      </c>
      <c r="G209" s="5" t="s">
        <v>342</v>
      </c>
      <c r="H209" s="5" t="s">
        <v>2078</v>
      </c>
      <c r="I209" s="4" t="s">
        <v>5</v>
      </c>
    </row>
    <row r="210" spans="2:9" ht="17.100000000000001" customHeight="1" x14ac:dyDescent="0.3">
      <c r="B210" s="19"/>
      <c r="C210" s="17"/>
      <c r="D210" s="4">
        <v>206</v>
      </c>
      <c r="E210" s="4">
        <v>20824</v>
      </c>
      <c r="F210" s="4" t="str">
        <f t="shared" si="15"/>
        <v>5158</v>
      </c>
      <c r="G210" s="5" t="s">
        <v>343</v>
      </c>
      <c r="H210" s="5" t="s">
        <v>2079</v>
      </c>
      <c r="I210" s="4" t="s">
        <v>5</v>
      </c>
    </row>
    <row r="211" spans="2:9" ht="17.100000000000001" customHeight="1" x14ac:dyDescent="0.3">
      <c r="B211" s="19"/>
      <c r="C211" s="17"/>
      <c r="D211" s="4">
        <v>207</v>
      </c>
      <c r="E211" s="4">
        <v>20828</v>
      </c>
      <c r="F211" s="4" t="str">
        <f t="shared" si="15"/>
        <v>515C</v>
      </c>
      <c r="G211" s="5" t="s">
        <v>344</v>
      </c>
      <c r="H211" s="5" t="s">
        <v>2080</v>
      </c>
      <c r="I211" s="4" t="s">
        <v>5</v>
      </c>
    </row>
    <row r="212" spans="2:9" ht="17.100000000000001" customHeight="1" x14ac:dyDescent="0.3">
      <c r="B212" s="19"/>
      <c r="C212" s="17"/>
      <c r="D212" s="4">
        <v>208</v>
      </c>
      <c r="E212" s="4">
        <v>20832</v>
      </c>
      <c r="F212" s="4" t="str">
        <f t="shared" si="15"/>
        <v>5160</v>
      </c>
      <c r="G212" s="5" t="s">
        <v>345</v>
      </c>
      <c r="H212" s="5" t="s">
        <v>2081</v>
      </c>
      <c r="I212" s="4" t="s">
        <v>5</v>
      </c>
    </row>
    <row r="213" spans="2:9" ht="17.100000000000001" customHeight="1" x14ac:dyDescent="0.3">
      <c r="B213" s="19"/>
      <c r="C213" s="17"/>
      <c r="D213" s="4">
        <v>209</v>
      </c>
      <c r="E213" s="4">
        <v>20836</v>
      </c>
      <c r="F213" s="4" t="str">
        <f t="shared" si="15"/>
        <v>5164</v>
      </c>
      <c r="G213" s="5" t="s">
        <v>346</v>
      </c>
      <c r="H213" s="5" t="s">
        <v>2082</v>
      </c>
      <c r="I213" s="4" t="s">
        <v>5</v>
      </c>
    </row>
    <row r="214" spans="2:9" ht="17.100000000000001" customHeight="1" x14ac:dyDescent="0.3">
      <c r="B214" s="19"/>
      <c r="C214" s="17"/>
      <c r="D214" s="4">
        <v>210</v>
      </c>
      <c r="E214" s="4">
        <v>20840</v>
      </c>
      <c r="F214" s="4" t="str">
        <f t="shared" si="15"/>
        <v>5168</v>
      </c>
      <c r="G214" s="5" t="s">
        <v>347</v>
      </c>
      <c r="H214" s="5" t="s">
        <v>2083</v>
      </c>
      <c r="I214" s="4" t="s">
        <v>14</v>
      </c>
    </row>
    <row r="215" spans="2:9" ht="17.100000000000001" customHeight="1" x14ac:dyDescent="0.3">
      <c r="B215" s="19"/>
      <c r="C215" s="17"/>
      <c r="D215" s="4">
        <v>211</v>
      </c>
      <c r="E215" s="4">
        <v>20844</v>
      </c>
      <c r="F215" s="4" t="str">
        <f t="shared" si="15"/>
        <v>516C</v>
      </c>
      <c r="G215" s="5" t="s">
        <v>348</v>
      </c>
      <c r="H215" s="5" t="s">
        <v>2084</v>
      </c>
      <c r="I215" s="4" t="s">
        <v>14</v>
      </c>
    </row>
    <row r="216" spans="2:9" ht="17.100000000000001" customHeight="1" x14ac:dyDescent="0.3">
      <c r="B216" s="19"/>
      <c r="C216" s="17"/>
      <c r="D216" s="4">
        <v>212</v>
      </c>
      <c r="E216" s="4">
        <v>20848</v>
      </c>
      <c r="F216" s="4" t="str">
        <f t="shared" si="15"/>
        <v>5170</v>
      </c>
      <c r="G216" s="5" t="s">
        <v>349</v>
      </c>
      <c r="H216" s="5" t="s">
        <v>2085</v>
      </c>
      <c r="I216" s="4" t="s">
        <v>15</v>
      </c>
    </row>
    <row r="217" spans="2:9" ht="17.100000000000001" customHeight="1" x14ac:dyDescent="0.3">
      <c r="B217" s="19"/>
      <c r="C217" s="17"/>
      <c r="D217" s="4">
        <v>213</v>
      </c>
      <c r="E217" s="4">
        <v>20852</v>
      </c>
      <c r="F217" s="4" t="str">
        <f t="shared" si="15"/>
        <v>5174</v>
      </c>
      <c r="G217" s="5" t="s">
        <v>350</v>
      </c>
      <c r="H217" s="5" t="s">
        <v>2086</v>
      </c>
      <c r="I217" s="4" t="s">
        <v>9</v>
      </c>
    </row>
    <row r="218" spans="2:9" ht="17.100000000000001" customHeight="1" x14ac:dyDescent="0.3">
      <c r="B218" s="19"/>
      <c r="C218" s="17"/>
      <c r="D218" s="4">
        <v>214</v>
      </c>
      <c r="E218" s="4">
        <v>20856</v>
      </c>
      <c r="F218" s="4" t="str">
        <f t="shared" si="15"/>
        <v>5178</v>
      </c>
      <c r="G218" s="5" t="s">
        <v>351</v>
      </c>
      <c r="H218" s="5" t="s">
        <v>2087</v>
      </c>
      <c r="I218" s="4" t="s">
        <v>9</v>
      </c>
    </row>
    <row r="219" spans="2:9" ht="17.100000000000001" customHeight="1" x14ac:dyDescent="0.3">
      <c r="B219" s="19"/>
      <c r="C219" s="17"/>
      <c r="D219" s="4">
        <v>215</v>
      </c>
      <c r="E219" s="4">
        <v>20860</v>
      </c>
      <c r="F219" s="4" t="str">
        <f t="shared" si="15"/>
        <v>517C</v>
      </c>
      <c r="G219" s="6" t="str">
        <f>"pUmem_Cmd_TBD_"&amp;F219</f>
        <v>pUmem_Cmd_TBD_517C</v>
      </c>
      <c r="H219" s="6"/>
      <c r="I219" s="7"/>
    </row>
    <row r="220" spans="2:9" ht="17.100000000000001" customHeight="1" x14ac:dyDescent="0.3">
      <c r="B220" s="19"/>
      <c r="C220" s="17"/>
      <c r="D220" s="4">
        <v>216</v>
      </c>
      <c r="E220" s="4">
        <v>20864</v>
      </c>
      <c r="F220" s="4" t="str">
        <f t="shared" si="15"/>
        <v>5180</v>
      </c>
      <c r="G220" s="6" t="str">
        <f t="shared" ref="G220:G222" si="16">"pUmem_Cmd_TBD_"&amp;F220</f>
        <v>pUmem_Cmd_TBD_5180</v>
      </c>
      <c r="H220" s="6"/>
      <c r="I220" s="7"/>
    </row>
    <row r="221" spans="2:9" ht="17.100000000000001" customHeight="1" x14ac:dyDescent="0.3">
      <c r="B221" s="19"/>
      <c r="C221" s="17"/>
      <c r="D221" s="4">
        <v>217</v>
      </c>
      <c r="E221" s="4">
        <v>20868</v>
      </c>
      <c r="F221" s="4" t="str">
        <f t="shared" si="15"/>
        <v>5184</v>
      </c>
      <c r="G221" s="6" t="str">
        <f t="shared" si="16"/>
        <v>pUmem_Cmd_TBD_5184</v>
      </c>
      <c r="H221" s="6"/>
      <c r="I221" s="7"/>
    </row>
    <row r="222" spans="2:9" ht="17.100000000000001" customHeight="1" x14ac:dyDescent="0.3">
      <c r="B222" s="19"/>
      <c r="C222" s="17"/>
      <c r="D222" s="4">
        <v>218</v>
      </c>
      <c r="E222" s="4">
        <v>20872</v>
      </c>
      <c r="F222" s="4" t="str">
        <f t="shared" si="15"/>
        <v>5188</v>
      </c>
      <c r="G222" s="6" t="str">
        <f t="shared" si="16"/>
        <v>pUmem_Cmd_TBD_5188</v>
      </c>
      <c r="H222" s="6"/>
      <c r="I222" s="7"/>
    </row>
    <row r="223" spans="2:9" ht="17.100000000000001" customHeight="1" x14ac:dyDescent="0.3">
      <c r="B223" s="19"/>
      <c r="C223" s="17"/>
      <c r="D223" s="4">
        <v>219</v>
      </c>
      <c r="E223" s="4">
        <v>20876</v>
      </c>
      <c r="F223" s="4" t="str">
        <f t="shared" si="15"/>
        <v>518C</v>
      </c>
      <c r="G223" s="6" t="str">
        <f>"pUmem_Cmd_TBD_"&amp;F223</f>
        <v>pUmem_Cmd_TBD_518C</v>
      </c>
      <c r="H223" s="6"/>
      <c r="I223" s="7"/>
    </row>
    <row r="224" spans="2:9" ht="17.100000000000001" customHeight="1" x14ac:dyDescent="0.3">
      <c r="B224" s="19"/>
      <c r="C224" s="17" t="s">
        <v>286</v>
      </c>
      <c r="D224" s="4">
        <v>220</v>
      </c>
      <c r="E224" s="4">
        <v>20880</v>
      </c>
      <c r="F224" s="4" t="str">
        <f t="shared" si="15"/>
        <v>5190</v>
      </c>
      <c r="G224" s="5" t="s">
        <v>352</v>
      </c>
      <c r="H224" s="5" t="s">
        <v>2073</v>
      </c>
      <c r="I224" s="4" t="s">
        <v>5</v>
      </c>
    </row>
    <row r="225" spans="2:9" ht="17.100000000000001" customHeight="1" x14ac:dyDescent="0.3">
      <c r="B225" s="19"/>
      <c r="C225" s="17"/>
      <c r="D225" s="4">
        <v>221</v>
      </c>
      <c r="E225" s="4">
        <v>20884</v>
      </c>
      <c r="F225" s="4" t="str">
        <f t="shared" si="15"/>
        <v>5194</v>
      </c>
      <c r="G225" s="5" t="s">
        <v>353</v>
      </c>
      <c r="H225" s="5" t="s">
        <v>2074</v>
      </c>
      <c r="I225" s="4" t="s">
        <v>5</v>
      </c>
    </row>
    <row r="226" spans="2:9" ht="17.100000000000001" customHeight="1" x14ac:dyDescent="0.3">
      <c r="B226" s="19"/>
      <c r="C226" s="17"/>
      <c r="D226" s="4">
        <v>222</v>
      </c>
      <c r="E226" s="4">
        <v>20888</v>
      </c>
      <c r="F226" s="4" t="str">
        <f t="shared" si="15"/>
        <v>5198</v>
      </c>
      <c r="G226" s="5" t="s">
        <v>354</v>
      </c>
      <c r="H226" s="5" t="s">
        <v>2075</v>
      </c>
      <c r="I226" s="4" t="s">
        <v>5</v>
      </c>
    </row>
    <row r="227" spans="2:9" ht="17.100000000000001" customHeight="1" x14ac:dyDescent="0.3">
      <c r="B227" s="19"/>
      <c r="C227" s="17"/>
      <c r="D227" s="4">
        <v>223</v>
      </c>
      <c r="E227" s="4">
        <v>20892</v>
      </c>
      <c r="F227" s="4" t="str">
        <f t="shared" si="15"/>
        <v>519C</v>
      </c>
      <c r="G227" s="5" t="s">
        <v>355</v>
      </c>
      <c r="H227" s="5" t="s">
        <v>2076</v>
      </c>
      <c r="I227" s="4" t="s">
        <v>5</v>
      </c>
    </row>
    <row r="228" spans="2:9" ht="17.100000000000001" customHeight="1" x14ac:dyDescent="0.3">
      <c r="B228" s="19"/>
      <c r="C228" s="17"/>
      <c r="D228" s="4">
        <v>224</v>
      </c>
      <c r="E228" s="4">
        <v>20896</v>
      </c>
      <c r="F228" s="4" t="str">
        <f t="shared" si="15"/>
        <v>51A0</v>
      </c>
      <c r="G228" s="5" t="s">
        <v>356</v>
      </c>
      <c r="H228" s="5" t="s">
        <v>2077</v>
      </c>
      <c r="I228" s="4" t="s">
        <v>14</v>
      </c>
    </row>
    <row r="229" spans="2:9" ht="17.100000000000001" customHeight="1" x14ac:dyDescent="0.3">
      <c r="B229" s="19"/>
      <c r="C229" s="17"/>
      <c r="D229" s="4">
        <v>225</v>
      </c>
      <c r="E229" s="4">
        <v>20900</v>
      </c>
      <c r="F229" s="4" t="str">
        <f t="shared" si="15"/>
        <v>51A4</v>
      </c>
      <c r="G229" s="5" t="s">
        <v>357</v>
      </c>
      <c r="H229" s="5" t="s">
        <v>2078</v>
      </c>
      <c r="I229" s="4" t="s">
        <v>5</v>
      </c>
    </row>
    <row r="230" spans="2:9" ht="17.100000000000001" customHeight="1" x14ac:dyDescent="0.3">
      <c r="B230" s="19"/>
      <c r="C230" s="17"/>
      <c r="D230" s="4">
        <v>226</v>
      </c>
      <c r="E230" s="4">
        <v>20904</v>
      </c>
      <c r="F230" s="4" t="str">
        <f t="shared" si="15"/>
        <v>51A8</v>
      </c>
      <c r="G230" s="5" t="s">
        <v>358</v>
      </c>
      <c r="H230" s="5" t="s">
        <v>2079</v>
      </c>
      <c r="I230" s="4" t="s">
        <v>5</v>
      </c>
    </row>
    <row r="231" spans="2:9" ht="17.100000000000001" customHeight="1" x14ac:dyDescent="0.3">
      <c r="B231" s="19"/>
      <c r="C231" s="17"/>
      <c r="D231" s="4">
        <v>227</v>
      </c>
      <c r="E231" s="4">
        <v>20908</v>
      </c>
      <c r="F231" s="4" t="str">
        <f t="shared" si="15"/>
        <v>51AC</v>
      </c>
      <c r="G231" s="5" t="s">
        <v>359</v>
      </c>
      <c r="H231" s="5" t="s">
        <v>2080</v>
      </c>
      <c r="I231" s="4" t="s">
        <v>5</v>
      </c>
    </row>
    <row r="232" spans="2:9" ht="17.100000000000001" customHeight="1" x14ac:dyDescent="0.3">
      <c r="B232" s="19"/>
      <c r="C232" s="17"/>
      <c r="D232" s="4">
        <v>228</v>
      </c>
      <c r="E232" s="4">
        <v>20912</v>
      </c>
      <c r="F232" s="4" t="str">
        <f t="shared" si="15"/>
        <v>51B0</v>
      </c>
      <c r="G232" s="5" t="s">
        <v>360</v>
      </c>
      <c r="H232" s="5" t="s">
        <v>2081</v>
      </c>
      <c r="I232" s="4" t="s">
        <v>5</v>
      </c>
    </row>
    <row r="233" spans="2:9" ht="17.100000000000001" customHeight="1" x14ac:dyDescent="0.3">
      <c r="B233" s="19"/>
      <c r="C233" s="17"/>
      <c r="D233" s="4">
        <v>229</v>
      </c>
      <c r="E233" s="4">
        <v>20916</v>
      </c>
      <c r="F233" s="4" t="str">
        <f t="shared" si="15"/>
        <v>51B4</v>
      </c>
      <c r="G233" s="5" t="s">
        <v>361</v>
      </c>
      <c r="H233" s="5" t="s">
        <v>2082</v>
      </c>
      <c r="I233" s="4" t="s">
        <v>5</v>
      </c>
    </row>
    <row r="234" spans="2:9" ht="17.100000000000001" customHeight="1" x14ac:dyDescent="0.3">
      <c r="B234" s="19"/>
      <c r="C234" s="17"/>
      <c r="D234" s="4">
        <v>230</v>
      </c>
      <c r="E234" s="4">
        <v>20920</v>
      </c>
      <c r="F234" s="4" t="str">
        <f t="shared" si="15"/>
        <v>51B8</v>
      </c>
      <c r="G234" s="5" t="s">
        <v>362</v>
      </c>
      <c r="H234" s="5" t="s">
        <v>2083</v>
      </c>
      <c r="I234" s="4" t="s">
        <v>14</v>
      </c>
    </row>
    <row r="235" spans="2:9" ht="17.100000000000001" customHeight="1" x14ac:dyDescent="0.3">
      <c r="B235" s="19"/>
      <c r="C235" s="17"/>
      <c r="D235" s="4">
        <v>231</v>
      </c>
      <c r="E235" s="4">
        <v>20924</v>
      </c>
      <c r="F235" s="4" t="str">
        <f t="shared" si="15"/>
        <v>51BC</v>
      </c>
      <c r="G235" s="5" t="s">
        <v>363</v>
      </c>
      <c r="H235" s="5" t="s">
        <v>2084</v>
      </c>
      <c r="I235" s="4" t="s">
        <v>14</v>
      </c>
    </row>
    <row r="236" spans="2:9" ht="17.100000000000001" customHeight="1" x14ac:dyDescent="0.3">
      <c r="B236" s="19"/>
      <c r="C236" s="17"/>
      <c r="D236" s="4">
        <v>232</v>
      </c>
      <c r="E236" s="4">
        <v>20928</v>
      </c>
      <c r="F236" s="4" t="str">
        <f t="shared" si="15"/>
        <v>51C0</v>
      </c>
      <c r="G236" s="5" t="s">
        <v>364</v>
      </c>
      <c r="H236" s="5" t="s">
        <v>2085</v>
      </c>
      <c r="I236" s="4" t="s">
        <v>15</v>
      </c>
    </row>
    <row r="237" spans="2:9" ht="17.100000000000001" customHeight="1" x14ac:dyDescent="0.3">
      <c r="B237" s="19"/>
      <c r="C237" s="17"/>
      <c r="D237" s="4">
        <v>233</v>
      </c>
      <c r="E237" s="4">
        <v>20932</v>
      </c>
      <c r="F237" s="4" t="str">
        <f t="shared" si="15"/>
        <v>51C4</v>
      </c>
      <c r="G237" s="5" t="s">
        <v>365</v>
      </c>
      <c r="H237" s="5" t="s">
        <v>2086</v>
      </c>
      <c r="I237" s="4" t="s">
        <v>9</v>
      </c>
    </row>
    <row r="238" spans="2:9" ht="17.100000000000001" customHeight="1" x14ac:dyDescent="0.3">
      <c r="B238" s="19"/>
      <c r="C238" s="17"/>
      <c r="D238" s="4">
        <v>234</v>
      </c>
      <c r="E238" s="4">
        <v>20936</v>
      </c>
      <c r="F238" s="4" t="str">
        <f t="shared" si="15"/>
        <v>51C8</v>
      </c>
      <c r="G238" s="5" t="s">
        <v>366</v>
      </c>
      <c r="H238" s="5" t="s">
        <v>2087</v>
      </c>
      <c r="I238" s="4" t="s">
        <v>9</v>
      </c>
    </row>
    <row r="239" spans="2:9" ht="17.100000000000001" customHeight="1" x14ac:dyDescent="0.3">
      <c r="B239" s="19"/>
      <c r="C239" s="17"/>
      <c r="D239" s="4">
        <v>235</v>
      </c>
      <c r="E239" s="4">
        <v>20940</v>
      </c>
      <c r="F239" s="4" t="str">
        <f t="shared" si="15"/>
        <v>51CC</v>
      </c>
      <c r="G239" s="6" t="str">
        <f>"pUmem_Cmd_TBD_"&amp;F239</f>
        <v>pUmem_Cmd_TBD_51CC</v>
      </c>
      <c r="H239" s="6"/>
      <c r="I239" s="7"/>
    </row>
    <row r="240" spans="2:9" ht="17.100000000000001" customHeight="1" x14ac:dyDescent="0.3">
      <c r="B240" s="19"/>
      <c r="C240" s="17"/>
      <c r="D240" s="4">
        <v>236</v>
      </c>
      <c r="E240" s="4">
        <v>20944</v>
      </c>
      <c r="F240" s="4" t="str">
        <f t="shared" si="15"/>
        <v>51D0</v>
      </c>
      <c r="G240" s="6" t="str">
        <f t="shared" ref="G240:G242" si="17">"pUmem_Cmd_TBD_"&amp;F240</f>
        <v>pUmem_Cmd_TBD_51D0</v>
      </c>
      <c r="H240" s="6"/>
      <c r="I240" s="7"/>
    </row>
    <row r="241" spans="2:9" ht="17.100000000000001" customHeight="1" x14ac:dyDescent="0.3">
      <c r="B241" s="19"/>
      <c r="C241" s="17"/>
      <c r="D241" s="4">
        <v>237</v>
      </c>
      <c r="E241" s="4">
        <v>20948</v>
      </c>
      <c r="F241" s="4" t="str">
        <f t="shared" si="15"/>
        <v>51D4</v>
      </c>
      <c r="G241" s="6" t="str">
        <f t="shared" si="17"/>
        <v>pUmem_Cmd_TBD_51D4</v>
      </c>
      <c r="H241" s="6"/>
      <c r="I241" s="7"/>
    </row>
    <row r="242" spans="2:9" ht="17.100000000000001" customHeight="1" x14ac:dyDescent="0.3">
      <c r="B242" s="19"/>
      <c r="C242" s="17"/>
      <c r="D242" s="4">
        <v>238</v>
      </c>
      <c r="E242" s="4">
        <v>20952</v>
      </c>
      <c r="F242" s="4" t="str">
        <f t="shared" si="15"/>
        <v>51D8</v>
      </c>
      <c r="G242" s="6" t="str">
        <f t="shared" si="17"/>
        <v>pUmem_Cmd_TBD_51D8</v>
      </c>
      <c r="H242" s="6"/>
      <c r="I242" s="7"/>
    </row>
    <row r="243" spans="2:9" ht="17.100000000000001" customHeight="1" x14ac:dyDescent="0.3">
      <c r="B243" s="19"/>
      <c r="C243" s="17"/>
      <c r="D243" s="4">
        <v>239</v>
      </c>
      <c r="E243" s="4">
        <v>20956</v>
      </c>
      <c r="F243" s="4" t="str">
        <f t="shared" si="15"/>
        <v>51DC</v>
      </c>
      <c r="G243" s="6" t="str">
        <f>"pUmem_Cmd_TBD_"&amp;F243</f>
        <v>pUmem_Cmd_TBD_51DC</v>
      </c>
      <c r="H243" s="6"/>
      <c r="I243" s="7"/>
    </row>
    <row r="244" spans="2:9" ht="17.100000000000001" customHeight="1" x14ac:dyDescent="0.3">
      <c r="B244" s="19"/>
      <c r="C244" s="17" t="s">
        <v>287</v>
      </c>
      <c r="D244" s="4">
        <v>240</v>
      </c>
      <c r="E244" s="4">
        <v>20960</v>
      </c>
      <c r="F244" s="4" t="str">
        <f t="shared" si="15"/>
        <v>51E0</v>
      </c>
      <c r="G244" s="5" t="s">
        <v>367</v>
      </c>
      <c r="H244" s="5" t="s">
        <v>2073</v>
      </c>
      <c r="I244" s="4" t="s">
        <v>5</v>
      </c>
    </row>
    <row r="245" spans="2:9" ht="17.100000000000001" customHeight="1" x14ac:dyDescent="0.3">
      <c r="B245" s="19"/>
      <c r="C245" s="17"/>
      <c r="D245" s="4">
        <v>241</v>
      </c>
      <c r="E245" s="4">
        <v>20964</v>
      </c>
      <c r="F245" s="4" t="str">
        <f t="shared" si="15"/>
        <v>51E4</v>
      </c>
      <c r="G245" s="5" t="s">
        <v>368</v>
      </c>
      <c r="H245" s="5" t="s">
        <v>2074</v>
      </c>
      <c r="I245" s="4" t="s">
        <v>5</v>
      </c>
    </row>
    <row r="246" spans="2:9" ht="17.100000000000001" customHeight="1" x14ac:dyDescent="0.3">
      <c r="B246" s="19"/>
      <c r="C246" s="17"/>
      <c r="D246" s="4">
        <v>242</v>
      </c>
      <c r="E246" s="4">
        <v>20968</v>
      </c>
      <c r="F246" s="4" t="str">
        <f t="shared" si="15"/>
        <v>51E8</v>
      </c>
      <c r="G246" s="5" t="s">
        <v>369</v>
      </c>
      <c r="H246" s="5" t="s">
        <v>2075</v>
      </c>
      <c r="I246" s="4" t="s">
        <v>5</v>
      </c>
    </row>
    <row r="247" spans="2:9" ht="17.100000000000001" customHeight="1" x14ac:dyDescent="0.3">
      <c r="B247" s="19"/>
      <c r="C247" s="17"/>
      <c r="D247" s="4">
        <v>243</v>
      </c>
      <c r="E247" s="4">
        <v>20972</v>
      </c>
      <c r="F247" s="4" t="str">
        <f t="shared" si="15"/>
        <v>51EC</v>
      </c>
      <c r="G247" s="5" t="s">
        <v>370</v>
      </c>
      <c r="H247" s="5" t="s">
        <v>2076</v>
      </c>
      <c r="I247" s="4" t="s">
        <v>5</v>
      </c>
    </row>
    <row r="248" spans="2:9" ht="17.100000000000001" customHeight="1" x14ac:dyDescent="0.3">
      <c r="B248" s="19"/>
      <c r="C248" s="17"/>
      <c r="D248" s="4">
        <v>244</v>
      </c>
      <c r="E248" s="4">
        <v>20976</v>
      </c>
      <c r="F248" s="4" t="str">
        <f t="shared" si="15"/>
        <v>51F0</v>
      </c>
      <c r="G248" s="5" t="s">
        <v>371</v>
      </c>
      <c r="H248" s="5" t="s">
        <v>2077</v>
      </c>
      <c r="I248" s="4" t="s">
        <v>14</v>
      </c>
    </row>
    <row r="249" spans="2:9" ht="17.100000000000001" customHeight="1" x14ac:dyDescent="0.3">
      <c r="B249" s="19"/>
      <c r="C249" s="17"/>
      <c r="D249" s="4">
        <v>245</v>
      </c>
      <c r="E249" s="4">
        <v>20980</v>
      </c>
      <c r="F249" s="4" t="str">
        <f t="shared" si="15"/>
        <v>51F4</v>
      </c>
      <c r="G249" s="5" t="s">
        <v>372</v>
      </c>
      <c r="H249" s="5" t="s">
        <v>2078</v>
      </c>
      <c r="I249" s="4" t="s">
        <v>5</v>
      </c>
    </row>
    <row r="250" spans="2:9" ht="17.100000000000001" customHeight="1" x14ac:dyDescent="0.3">
      <c r="B250" s="19"/>
      <c r="C250" s="17"/>
      <c r="D250" s="4">
        <v>246</v>
      </c>
      <c r="E250" s="4">
        <v>20984</v>
      </c>
      <c r="F250" s="4" t="str">
        <f t="shared" si="15"/>
        <v>51F8</v>
      </c>
      <c r="G250" s="5" t="s">
        <v>373</v>
      </c>
      <c r="H250" s="5" t="s">
        <v>2079</v>
      </c>
      <c r="I250" s="4" t="s">
        <v>5</v>
      </c>
    </row>
    <row r="251" spans="2:9" ht="17.100000000000001" customHeight="1" x14ac:dyDescent="0.3">
      <c r="B251" s="19"/>
      <c r="C251" s="17"/>
      <c r="D251" s="4">
        <v>247</v>
      </c>
      <c r="E251" s="4">
        <v>20988</v>
      </c>
      <c r="F251" s="4" t="str">
        <f t="shared" si="15"/>
        <v>51FC</v>
      </c>
      <c r="G251" s="5" t="s">
        <v>374</v>
      </c>
      <c r="H251" s="5" t="s">
        <v>2080</v>
      </c>
      <c r="I251" s="4" t="s">
        <v>5</v>
      </c>
    </row>
    <row r="252" spans="2:9" ht="17.100000000000001" customHeight="1" x14ac:dyDescent="0.3">
      <c r="B252" s="19"/>
      <c r="C252" s="17"/>
      <c r="D252" s="4">
        <v>248</v>
      </c>
      <c r="E252" s="4">
        <v>20992</v>
      </c>
      <c r="F252" s="4" t="str">
        <f t="shared" si="15"/>
        <v>5200</v>
      </c>
      <c r="G252" s="5" t="s">
        <v>375</v>
      </c>
      <c r="H252" s="5" t="s">
        <v>2081</v>
      </c>
      <c r="I252" s="4" t="s">
        <v>5</v>
      </c>
    </row>
    <row r="253" spans="2:9" ht="17.100000000000001" customHeight="1" x14ac:dyDescent="0.3">
      <c r="B253" s="19"/>
      <c r="C253" s="17"/>
      <c r="D253" s="4">
        <v>249</v>
      </c>
      <c r="E253" s="4">
        <v>20996</v>
      </c>
      <c r="F253" s="4" t="str">
        <f t="shared" si="15"/>
        <v>5204</v>
      </c>
      <c r="G253" s="5" t="s">
        <v>376</v>
      </c>
      <c r="H253" s="5" t="s">
        <v>2082</v>
      </c>
      <c r="I253" s="4" t="s">
        <v>5</v>
      </c>
    </row>
    <row r="254" spans="2:9" ht="17.100000000000001" customHeight="1" x14ac:dyDescent="0.3">
      <c r="B254" s="19"/>
      <c r="C254" s="17"/>
      <c r="D254" s="4">
        <v>250</v>
      </c>
      <c r="E254" s="4">
        <v>21000</v>
      </c>
      <c r="F254" s="4" t="str">
        <f t="shared" si="15"/>
        <v>5208</v>
      </c>
      <c r="G254" s="5" t="s">
        <v>377</v>
      </c>
      <c r="H254" s="5" t="s">
        <v>2083</v>
      </c>
      <c r="I254" s="4" t="s">
        <v>14</v>
      </c>
    </row>
    <row r="255" spans="2:9" ht="17.100000000000001" customHeight="1" x14ac:dyDescent="0.3">
      <c r="B255" s="19"/>
      <c r="C255" s="17"/>
      <c r="D255" s="4">
        <v>251</v>
      </c>
      <c r="E255" s="4">
        <v>21004</v>
      </c>
      <c r="F255" s="4" t="str">
        <f t="shared" si="15"/>
        <v>520C</v>
      </c>
      <c r="G255" s="5" t="s">
        <v>378</v>
      </c>
      <c r="H255" s="5" t="s">
        <v>2084</v>
      </c>
      <c r="I255" s="4" t="s">
        <v>14</v>
      </c>
    </row>
    <row r="256" spans="2:9" ht="17.100000000000001" customHeight="1" x14ac:dyDescent="0.3">
      <c r="B256" s="19"/>
      <c r="C256" s="17"/>
      <c r="D256" s="4">
        <v>252</v>
      </c>
      <c r="E256" s="4">
        <v>21008</v>
      </c>
      <c r="F256" s="4" t="str">
        <f t="shared" si="15"/>
        <v>5210</v>
      </c>
      <c r="G256" s="5" t="s">
        <v>379</v>
      </c>
      <c r="H256" s="5" t="s">
        <v>2085</v>
      </c>
      <c r="I256" s="4" t="s">
        <v>15</v>
      </c>
    </row>
    <row r="257" spans="2:9" ht="17.100000000000001" customHeight="1" x14ac:dyDescent="0.3">
      <c r="B257" s="19"/>
      <c r="C257" s="17"/>
      <c r="D257" s="4">
        <v>253</v>
      </c>
      <c r="E257" s="4">
        <v>21012</v>
      </c>
      <c r="F257" s="4" t="str">
        <f t="shared" si="15"/>
        <v>5214</v>
      </c>
      <c r="G257" s="5" t="s">
        <v>380</v>
      </c>
      <c r="H257" s="5" t="s">
        <v>2086</v>
      </c>
      <c r="I257" s="4" t="s">
        <v>9</v>
      </c>
    </row>
    <row r="258" spans="2:9" ht="17.100000000000001" customHeight="1" x14ac:dyDescent="0.3">
      <c r="B258" s="19"/>
      <c r="C258" s="17"/>
      <c r="D258" s="4">
        <v>254</v>
      </c>
      <c r="E258" s="4">
        <v>21016</v>
      </c>
      <c r="F258" s="4" t="str">
        <f t="shared" si="15"/>
        <v>5218</v>
      </c>
      <c r="G258" s="5" t="s">
        <v>381</v>
      </c>
      <c r="H258" s="5" t="s">
        <v>2087</v>
      </c>
      <c r="I258" s="4" t="s">
        <v>9</v>
      </c>
    </row>
    <row r="259" spans="2:9" ht="17.100000000000001" customHeight="1" x14ac:dyDescent="0.3">
      <c r="B259" s="19"/>
      <c r="C259" s="17"/>
      <c r="D259" s="4">
        <v>255</v>
      </c>
      <c r="E259" s="4">
        <v>21020</v>
      </c>
      <c r="F259" s="4" t="str">
        <f t="shared" si="15"/>
        <v>521C</v>
      </c>
      <c r="G259" s="6" t="str">
        <f>"pUmem_Cmd_TBD_"&amp;F259</f>
        <v>pUmem_Cmd_TBD_521C</v>
      </c>
      <c r="H259" s="6"/>
      <c r="I259" s="7"/>
    </row>
    <row r="260" spans="2:9" ht="17.100000000000001" customHeight="1" x14ac:dyDescent="0.3">
      <c r="B260" s="19"/>
      <c r="C260" s="17"/>
      <c r="D260" s="4">
        <v>256</v>
      </c>
      <c r="E260" s="4">
        <v>21024</v>
      </c>
      <c r="F260" s="4" t="str">
        <f t="shared" si="15"/>
        <v>5220</v>
      </c>
      <c r="G260" s="6" t="str">
        <f t="shared" ref="G260:G262" si="18">"pUmem_Cmd_TBD_"&amp;F260</f>
        <v>pUmem_Cmd_TBD_5220</v>
      </c>
      <c r="H260" s="6"/>
      <c r="I260" s="7"/>
    </row>
    <row r="261" spans="2:9" ht="17.100000000000001" customHeight="1" x14ac:dyDescent="0.3">
      <c r="B261" s="19"/>
      <c r="C261" s="17"/>
      <c r="D261" s="4">
        <v>257</v>
      </c>
      <c r="E261" s="4">
        <v>21028</v>
      </c>
      <c r="F261" s="4" t="str">
        <f t="shared" si="15"/>
        <v>5224</v>
      </c>
      <c r="G261" s="6" t="str">
        <f t="shared" si="18"/>
        <v>pUmem_Cmd_TBD_5224</v>
      </c>
      <c r="H261" s="6"/>
      <c r="I261" s="7"/>
    </row>
    <row r="262" spans="2:9" ht="17.100000000000001" customHeight="1" x14ac:dyDescent="0.3">
      <c r="B262" s="19"/>
      <c r="C262" s="17"/>
      <c r="D262" s="4">
        <v>258</v>
      </c>
      <c r="E262" s="4">
        <v>21032</v>
      </c>
      <c r="F262" s="4" t="str">
        <f t="shared" si="15"/>
        <v>5228</v>
      </c>
      <c r="G262" s="6" t="str">
        <f t="shared" si="18"/>
        <v>pUmem_Cmd_TBD_5228</v>
      </c>
      <c r="H262" s="6"/>
      <c r="I262" s="7"/>
    </row>
    <row r="263" spans="2:9" ht="17.100000000000001" customHeight="1" x14ac:dyDescent="0.3">
      <c r="B263" s="19"/>
      <c r="C263" s="17"/>
      <c r="D263" s="4">
        <v>259</v>
      </c>
      <c r="E263" s="4">
        <v>21036</v>
      </c>
      <c r="F263" s="4" t="str">
        <f t="shared" si="15"/>
        <v>522C</v>
      </c>
      <c r="G263" s="6" t="str">
        <f>"pUmem_Cmd_TBD_"&amp;F263</f>
        <v>pUmem_Cmd_TBD_522C</v>
      </c>
      <c r="H263" s="6"/>
      <c r="I263" s="7"/>
    </row>
    <row r="264" spans="2:9" ht="17.100000000000001" customHeight="1" x14ac:dyDescent="0.3">
      <c r="B264" s="19"/>
      <c r="C264" s="17" t="s">
        <v>288</v>
      </c>
      <c r="D264" s="4">
        <v>260</v>
      </c>
      <c r="E264" s="4">
        <v>21040</v>
      </c>
      <c r="F264" s="4" t="str">
        <f t="shared" si="15"/>
        <v>5230</v>
      </c>
      <c r="G264" s="5" t="s">
        <v>382</v>
      </c>
      <c r="H264" s="5" t="s">
        <v>2073</v>
      </c>
      <c r="I264" s="4" t="s">
        <v>5</v>
      </c>
    </row>
    <row r="265" spans="2:9" ht="17.100000000000001" customHeight="1" x14ac:dyDescent="0.3">
      <c r="B265" s="19"/>
      <c r="C265" s="17"/>
      <c r="D265" s="4">
        <v>261</v>
      </c>
      <c r="E265" s="4">
        <v>21044</v>
      </c>
      <c r="F265" s="4" t="str">
        <f t="shared" ref="F265:F328" si="19">DEC2HEX(E265)</f>
        <v>5234</v>
      </c>
      <c r="G265" s="5" t="s">
        <v>383</v>
      </c>
      <c r="H265" s="5" t="s">
        <v>2074</v>
      </c>
      <c r="I265" s="4" t="s">
        <v>5</v>
      </c>
    </row>
    <row r="266" spans="2:9" ht="17.100000000000001" customHeight="1" x14ac:dyDescent="0.3">
      <c r="B266" s="19"/>
      <c r="C266" s="17"/>
      <c r="D266" s="4">
        <v>262</v>
      </c>
      <c r="E266" s="4">
        <v>21048</v>
      </c>
      <c r="F266" s="4" t="str">
        <f t="shared" si="19"/>
        <v>5238</v>
      </c>
      <c r="G266" s="5" t="s">
        <v>384</v>
      </c>
      <c r="H266" s="5" t="s">
        <v>2075</v>
      </c>
      <c r="I266" s="4" t="s">
        <v>5</v>
      </c>
    </row>
    <row r="267" spans="2:9" ht="17.100000000000001" customHeight="1" x14ac:dyDescent="0.3">
      <c r="B267" s="19"/>
      <c r="C267" s="17"/>
      <c r="D267" s="4">
        <v>263</v>
      </c>
      <c r="E267" s="4">
        <v>21052</v>
      </c>
      <c r="F267" s="4" t="str">
        <f t="shared" si="19"/>
        <v>523C</v>
      </c>
      <c r="G267" s="5" t="s">
        <v>385</v>
      </c>
      <c r="H267" s="5" t="s">
        <v>2076</v>
      </c>
      <c r="I267" s="4" t="s">
        <v>5</v>
      </c>
    </row>
    <row r="268" spans="2:9" ht="17.100000000000001" customHeight="1" x14ac:dyDescent="0.3">
      <c r="B268" s="19"/>
      <c r="C268" s="17"/>
      <c r="D268" s="4">
        <v>264</v>
      </c>
      <c r="E268" s="4">
        <v>21056</v>
      </c>
      <c r="F268" s="4" t="str">
        <f t="shared" si="19"/>
        <v>5240</v>
      </c>
      <c r="G268" s="5" t="s">
        <v>386</v>
      </c>
      <c r="H268" s="5" t="s">
        <v>2077</v>
      </c>
      <c r="I268" s="4" t="s">
        <v>14</v>
      </c>
    </row>
    <row r="269" spans="2:9" ht="17.100000000000001" customHeight="1" x14ac:dyDescent="0.3">
      <c r="B269" s="19"/>
      <c r="C269" s="17"/>
      <c r="D269" s="4">
        <v>265</v>
      </c>
      <c r="E269" s="4">
        <v>21060</v>
      </c>
      <c r="F269" s="4" t="str">
        <f t="shared" si="19"/>
        <v>5244</v>
      </c>
      <c r="G269" s="5" t="s">
        <v>387</v>
      </c>
      <c r="H269" s="5" t="s">
        <v>2078</v>
      </c>
      <c r="I269" s="4" t="s">
        <v>5</v>
      </c>
    </row>
    <row r="270" spans="2:9" ht="17.100000000000001" customHeight="1" x14ac:dyDescent="0.3">
      <c r="B270" s="19"/>
      <c r="C270" s="17"/>
      <c r="D270" s="4">
        <v>266</v>
      </c>
      <c r="E270" s="4">
        <v>21064</v>
      </c>
      <c r="F270" s="4" t="str">
        <f t="shared" si="19"/>
        <v>5248</v>
      </c>
      <c r="G270" s="5" t="s">
        <v>388</v>
      </c>
      <c r="H270" s="5" t="s">
        <v>2079</v>
      </c>
      <c r="I270" s="4" t="s">
        <v>5</v>
      </c>
    </row>
    <row r="271" spans="2:9" ht="17.100000000000001" customHeight="1" x14ac:dyDescent="0.3">
      <c r="B271" s="19"/>
      <c r="C271" s="17"/>
      <c r="D271" s="4">
        <v>267</v>
      </c>
      <c r="E271" s="4">
        <v>21068</v>
      </c>
      <c r="F271" s="4" t="str">
        <f t="shared" si="19"/>
        <v>524C</v>
      </c>
      <c r="G271" s="5" t="s">
        <v>389</v>
      </c>
      <c r="H271" s="5" t="s">
        <v>2080</v>
      </c>
      <c r="I271" s="4" t="s">
        <v>5</v>
      </c>
    </row>
    <row r="272" spans="2:9" ht="17.100000000000001" customHeight="1" x14ac:dyDescent="0.3">
      <c r="B272" s="19"/>
      <c r="C272" s="17"/>
      <c r="D272" s="4">
        <v>268</v>
      </c>
      <c r="E272" s="4">
        <v>21072</v>
      </c>
      <c r="F272" s="4" t="str">
        <f t="shared" si="19"/>
        <v>5250</v>
      </c>
      <c r="G272" s="5" t="s">
        <v>390</v>
      </c>
      <c r="H272" s="5" t="s">
        <v>2081</v>
      </c>
      <c r="I272" s="4" t="s">
        <v>5</v>
      </c>
    </row>
    <row r="273" spans="2:9" ht="17.100000000000001" customHeight="1" x14ac:dyDescent="0.3">
      <c r="B273" s="19"/>
      <c r="C273" s="17"/>
      <c r="D273" s="4">
        <v>269</v>
      </c>
      <c r="E273" s="4">
        <v>21076</v>
      </c>
      <c r="F273" s="4" t="str">
        <f t="shared" si="19"/>
        <v>5254</v>
      </c>
      <c r="G273" s="5" t="s">
        <v>391</v>
      </c>
      <c r="H273" s="5" t="s">
        <v>2082</v>
      </c>
      <c r="I273" s="4" t="s">
        <v>5</v>
      </c>
    </row>
    <row r="274" spans="2:9" ht="17.100000000000001" customHeight="1" x14ac:dyDescent="0.3">
      <c r="B274" s="19"/>
      <c r="C274" s="17"/>
      <c r="D274" s="4">
        <v>270</v>
      </c>
      <c r="E274" s="4">
        <v>21080</v>
      </c>
      <c r="F274" s="4" t="str">
        <f t="shared" si="19"/>
        <v>5258</v>
      </c>
      <c r="G274" s="5" t="s">
        <v>392</v>
      </c>
      <c r="H274" s="5" t="s">
        <v>2083</v>
      </c>
      <c r="I274" s="4" t="s">
        <v>14</v>
      </c>
    </row>
    <row r="275" spans="2:9" ht="17.100000000000001" customHeight="1" x14ac:dyDescent="0.3">
      <c r="B275" s="19"/>
      <c r="C275" s="17"/>
      <c r="D275" s="4">
        <v>271</v>
      </c>
      <c r="E275" s="4">
        <v>21084</v>
      </c>
      <c r="F275" s="4" t="str">
        <f t="shared" si="19"/>
        <v>525C</v>
      </c>
      <c r="G275" s="5" t="s">
        <v>393</v>
      </c>
      <c r="H275" s="5" t="s">
        <v>2084</v>
      </c>
      <c r="I275" s="4" t="s">
        <v>14</v>
      </c>
    </row>
    <row r="276" spans="2:9" ht="17.100000000000001" customHeight="1" x14ac:dyDescent="0.3">
      <c r="B276" s="19"/>
      <c r="C276" s="17"/>
      <c r="D276" s="4">
        <v>272</v>
      </c>
      <c r="E276" s="4">
        <v>21088</v>
      </c>
      <c r="F276" s="4" t="str">
        <f t="shared" si="19"/>
        <v>5260</v>
      </c>
      <c r="G276" s="5" t="s">
        <v>394</v>
      </c>
      <c r="H276" s="5" t="s">
        <v>2085</v>
      </c>
      <c r="I276" s="4" t="s">
        <v>15</v>
      </c>
    </row>
    <row r="277" spans="2:9" ht="17.100000000000001" customHeight="1" x14ac:dyDescent="0.3">
      <c r="B277" s="19"/>
      <c r="C277" s="17"/>
      <c r="D277" s="4">
        <v>273</v>
      </c>
      <c r="E277" s="4">
        <v>21092</v>
      </c>
      <c r="F277" s="4" t="str">
        <f t="shared" si="19"/>
        <v>5264</v>
      </c>
      <c r="G277" s="5" t="s">
        <v>395</v>
      </c>
      <c r="H277" s="5" t="s">
        <v>2086</v>
      </c>
      <c r="I277" s="4" t="s">
        <v>9</v>
      </c>
    </row>
    <row r="278" spans="2:9" ht="17.100000000000001" customHeight="1" x14ac:dyDescent="0.3">
      <c r="B278" s="19"/>
      <c r="C278" s="17"/>
      <c r="D278" s="4">
        <v>274</v>
      </c>
      <c r="E278" s="4">
        <v>21096</v>
      </c>
      <c r="F278" s="4" t="str">
        <f t="shared" si="19"/>
        <v>5268</v>
      </c>
      <c r="G278" s="5" t="s">
        <v>396</v>
      </c>
      <c r="H278" s="5" t="s">
        <v>2087</v>
      </c>
      <c r="I278" s="4" t="s">
        <v>9</v>
      </c>
    </row>
    <row r="279" spans="2:9" ht="17.100000000000001" customHeight="1" x14ac:dyDescent="0.3">
      <c r="B279" s="19"/>
      <c r="C279" s="17"/>
      <c r="D279" s="4">
        <v>275</v>
      </c>
      <c r="E279" s="4">
        <v>21100</v>
      </c>
      <c r="F279" s="4" t="str">
        <f t="shared" si="19"/>
        <v>526C</v>
      </c>
      <c r="G279" s="6" t="str">
        <f>"pUmem_Cmd_TBD_"&amp;F279</f>
        <v>pUmem_Cmd_TBD_526C</v>
      </c>
      <c r="H279" s="6"/>
      <c r="I279" s="7"/>
    </row>
    <row r="280" spans="2:9" ht="17.100000000000001" customHeight="1" x14ac:dyDescent="0.3">
      <c r="B280" s="19"/>
      <c r="C280" s="17"/>
      <c r="D280" s="4">
        <v>276</v>
      </c>
      <c r="E280" s="4">
        <v>21104</v>
      </c>
      <c r="F280" s="4" t="str">
        <f t="shared" si="19"/>
        <v>5270</v>
      </c>
      <c r="G280" s="6" t="str">
        <f t="shared" ref="G280:G282" si="20">"pUmem_Cmd_TBD_"&amp;F280</f>
        <v>pUmem_Cmd_TBD_5270</v>
      </c>
      <c r="H280" s="6"/>
      <c r="I280" s="7"/>
    </row>
    <row r="281" spans="2:9" ht="17.100000000000001" customHeight="1" x14ac:dyDescent="0.3">
      <c r="B281" s="19"/>
      <c r="C281" s="17"/>
      <c r="D281" s="4">
        <v>277</v>
      </c>
      <c r="E281" s="4">
        <v>21108</v>
      </c>
      <c r="F281" s="4" t="str">
        <f t="shared" si="19"/>
        <v>5274</v>
      </c>
      <c r="G281" s="6" t="str">
        <f t="shared" si="20"/>
        <v>pUmem_Cmd_TBD_5274</v>
      </c>
      <c r="H281" s="6"/>
      <c r="I281" s="7"/>
    </row>
    <row r="282" spans="2:9" ht="17.100000000000001" customHeight="1" x14ac:dyDescent="0.3">
      <c r="B282" s="19"/>
      <c r="C282" s="17"/>
      <c r="D282" s="4">
        <v>278</v>
      </c>
      <c r="E282" s="4">
        <v>21112</v>
      </c>
      <c r="F282" s="4" t="str">
        <f t="shared" si="19"/>
        <v>5278</v>
      </c>
      <c r="G282" s="6" t="str">
        <f t="shared" si="20"/>
        <v>pUmem_Cmd_TBD_5278</v>
      </c>
      <c r="H282" s="6"/>
      <c r="I282" s="7"/>
    </row>
    <row r="283" spans="2:9" ht="17.100000000000001" customHeight="1" x14ac:dyDescent="0.3">
      <c r="B283" s="19"/>
      <c r="C283" s="17"/>
      <c r="D283" s="4">
        <v>279</v>
      </c>
      <c r="E283" s="4">
        <v>21116</v>
      </c>
      <c r="F283" s="4" t="str">
        <f t="shared" si="19"/>
        <v>527C</v>
      </c>
      <c r="G283" s="6" t="str">
        <f>"pUmem_Cmd_TBD_"&amp;F283</f>
        <v>pUmem_Cmd_TBD_527C</v>
      </c>
      <c r="H283" s="6"/>
      <c r="I283" s="7"/>
    </row>
    <row r="284" spans="2:9" ht="17.100000000000001" customHeight="1" x14ac:dyDescent="0.3">
      <c r="B284" s="19"/>
      <c r="C284" s="17" t="s">
        <v>289</v>
      </c>
      <c r="D284" s="4">
        <v>280</v>
      </c>
      <c r="E284" s="4">
        <v>21120</v>
      </c>
      <c r="F284" s="4" t="str">
        <f t="shared" si="19"/>
        <v>5280</v>
      </c>
      <c r="G284" s="5" t="s">
        <v>397</v>
      </c>
      <c r="H284" s="5" t="s">
        <v>2073</v>
      </c>
      <c r="I284" s="4" t="s">
        <v>5</v>
      </c>
    </row>
    <row r="285" spans="2:9" ht="17.100000000000001" customHeight="1" x14ac:dyDescent="0.3">
      <c r="B285" s="19"/>
      <c r="C285" s="17"/>
      <c r="D285" s="4">
        <v>281</v>
      </c>
      <c r="E285" s="4">
        <v>21124</v>
      </c>
      <c r="F285" s="4" t="str">
        <f t="shared" si="19"/>
        <v>5284</v>
      </c>
      <c r="G285" s="5" t="s">
        <v>398</v>
      </c>
      <c r="H285" s="5" t="s">
        <v>2074</v>
      </c>
      <c r="I285" s="4" t="s">
        <v>5</v>
      </c>
    </row>
    <row r="286" spans="2:9" ht="17.100000000000001" customHeight="1" x14ac:dyDescent="0.3">
      <c r="B286" s="19"/>
      <c r="C286" s="17"/>
      <c r="D286" s="4">
        <v>282</v>
      </c>
      <c r="E286" s="4">
        <v>21128</v>
      </c>
      <c r="F286" s="4" t="str">
        <f t="shared" si="19"/>
        <v>5288</v>
      </c>
      <c r="G286" s="5" t="s">
        <v>399</v>
      </c>
      <c r="H286" s="5" t="s">
        <v>2075</v>
      </c>
      <c r="I286" s="4" t="s">
        <v>5</v>
      </c>
    </row>
    <row r="287" spans="2:9" ht="17.100000000000001" customHeight="1" x14ac:dyDescent="0.3">
      <c r="B287" s="19"/>
      <c r="C287" s="17"/>
      <c r="D287" s="4">
        <v>283</v>
      </c>
      <c r="E287" s="4">
        <v>21132</v>
      </c>
      <c r="F287" s="4" t="str">
        <f t="shared" si="19"/>
        <v>528C</v>
      </c>
      <c r="G287" s="5" t="s">
        <v>400</v>
      </c>
      <c r="H287" s="5" t="s">
        <v>2076</v>
      </c>
      <c r="I287" s="4" t="s">
        <v>5</v>
      </c>
    </row>
    <row r="288" spans="2:9" ht="17.100000000000001" customHeight="1" x14ac:dyDescent="0.3">
      <c r="B288" s="19"/>
      <c r="C288" s="17"/>
      <c r="D288" s="4">
        <v>284</v>
      </c>
      <c r="E288" s="4">
        <v>21136</v>
      </c>
      <c r="F288" s="4" t="str">
        <f t="shared" si="19"/>
        <v>5290</v>
      </c>
      <c r="G288" s="5" t="s">
        <v>401</v>
      </c>
      <c r="H288" s="5" t="s">
        <v>2077</v>
      </c>
      <c r="I288" s="4" t="s">
        <v>14</v>
      </c>
    </row>
    <row r="289" spans="2:9" ht="17.100000000000001" customHeight="1" x14ac:dyDescent="0.3">
      <c r="B289" s="19"/>
      <c r="C289" s="17"/>
      <c r="D289" s="4">
        <v>285</v>
      </c>
      <c r="E289" s="4">
        <v>21140</v>
      </c>
      <c r="F289" s="4" t="str">
        <f t="shared" si="19"/>
        <v>5294</v>
      </c>
      <c r="G289" s="5" t="s">
        <v>402</v>
      </c>
      <c r="H289" s="5" t="s">
        <v>2078</v>
      </c>
      <c r="I289" s="4" t="s">
        <v>5</v>
      </c>
    </row>
    <row r="290" spans="2:9" ht="17.100000000000001" customHeight="1" x14ac:dyDescent="0.3">
      <c r="B290" s="19"/>
      <c r="C290" s="17"/>
      <c r="D290" s="4">
        <v>286</v>
      </c>
      <c r="E290" s="4">
        <v>21144</v>
      </c>
      <c r="F290" s="4" t="str">
        <f t="shared" si="19"/>
        <v>5298</v>
      </c>
      <c r="G290" s="5" t="s">
        <v>403</v>
      </c>
      <c r="H290" s="5" t="s">
        <v>2079</v>
      </c>
      <c r="I290" s="4" t="s">
        <v>5</v>
      </c>
    </row>
    <row r="291" spans="2:9" ht="17.100000000000001" customHeight="1" x14ac:dyDescent="0.3">
      <c r="B291" s="19"/>
      <c r="C291" s="17"/>
      <c r="D291" s="4">
        <v>287</v>
      </c>
      <c r="E291" s="4">
        <v>21148</v>
      </c>
      <c r="F291" s="4" t="str">
        <f t="shared" si="19"/>
        <v>529C</v>
      </c>
      <c r="G291" s="5" t="s">
        <v>404</v>
      </c>
      <c r="H291" s="5" t="s">
        <v>2080</v>
      </c>
      <c r="I291" s="4" t="s">
        <v>5</v>
      </c>
    </row>
    <row r="292" spans="2:9" ht="17.100000000000001" customHeight="1" x14ac:dyDescent="0.3">
      <c r="B292" s="19"/>
      <c r="C292" s="17"/>
      <c r="D292" s="4">
        <v>288</v>
      </c>
      <c r="E292" s="4">
        <v>21152</v>
      </c>
      <c r="F292" s="4" t="str">
        <f t="shared" si="19"/>
        <v>52A0</v>
      </c>
      <c r="G292" s="5" t="s">
        <v>405</v>
      </c>
      <c r="H292" s="5" t="s">
        <v>2081</v>
      </c>
      <c r="I292" s="4" t="s">
        <v>5</v>
      </c>
    </row>
    <row r="293" spans="2:9" ht="17.100000000000001" customHeight="1" x14ac:dyDescent="0.3">
      <c r="B293" s="19"/>
      <c r="C293" s="17"/>
      <c r="D293" s="4">
        <v>289</v>
      </c>
      <c r="E293" s="4">
        <v>21156</v>
      </c>
      <c r="F293" s="4" t="str">
        <f t="shared" si="19"/>
        <v>52A4</v>
      </c>
      <c r="G293" s="5" t="s">
        <v>406</v>
      </c>
      <c r="H293" s="5" t="s">
        <v>2082</v>
      </c>
      <c r="I293" s="4" t="s">
        <v>5</v>
      </c>
    </row>
    <row r="294" spans="2:9" ht="17.100000000000001" customHeight="1" x14ac:dyDescent="0.3">
      <c r="B294" s="19"/>
      <c r="C294" s="17"/>
      <c r="D294" s="4">
        <v>290</v>
      </c>
      <c r="E294" s="4">
        <v>21160</v>
      </c>
      <c r="F294" s="4" t="str">
        <f t="shared" si="19"/>
        <v>52A8</v>
      </c>
      <c r="G294" s="5" t="s">
        <v>407</v>
      </c>
      <c r="H294" s="5" t="s">
        <v>2083</v>
      </c>
      <c r="I294" s="4" t="s">
        <v>14</v>
      </c>
    </row>
    <row r="295" spans="2:9" ht="17.100000000000001" customHeight="1" x14ac:dyDescent="0.3">
      <c r="B295" s="19"/>
      <c r="C295" s="17"/>
      <c r="D295" s="4">
        <v>291</v>
      </c>
      <c r="E295" s="4">
        <v>21164</v>
      </c>
      <c r="F295" s="4" t="str">
        <f t="shared" si="19"/>
        <v>52AC</v>
      </c>
      <c r="G295" s="5" t="s">
        <v>408</v>
      </c>
      <c r="H295" s="5" t="s">
        <v>2084</v>
      </c>
      <c r="I295" s="4" t="s">
        <v>14</v>
      </c>
    </row>
    <row r="296" spans="2:9" ht="17.100000000000001" customHeight="1" x14ac:dyDescent="0.3">
      <c r="B296" s="19"/>
      <c r="C296" s="17"/>
      <c r="D296" s="4">
        <v>292</v>
      </c>
      <c r="E296" s="4">
        <v>21168</v>
      </c>
      <c r="F296" s="4" t="str">
        <f t="shared" si="19"/>
        <v>52B0</v>
      </c>
      <c r="G296" s="5" t="s">
        <v>409</v>
      </c>
      <c r="H296" s="5" t="s">
        <v>2085</v>
      </c>
      <c r="I296" s="4" t="s">
        <v>15</v>
      </c>
    </row>
    <row r="297" spans="2:9" ht="17.100000000000001" customHeight="1" x14ac:dyDescent="0.3">
      <c r="B297" s="19"/>
      <c r="C297" s="17"/>
      <c r="D297" s="4">
        <v>293</v>
      </c>
      <c r="E297" s="4">
        <v>21172</v>
      </c>
      <c r="F297" s="4" t="str">
        <f t="shared" si="19"/>
        <v>52B4</v>
      </c>
      <c r="G297" s="5" t="s">
        <v>410</v>
      </c>
      <c r="H297" s="5" t="s">
        <v>2086</v>
      </c>
      <c r="I297" s="4" t="s">
        <v>9</v>
      </c>
    </row>
    <row r="298" spans="2:9" ht="17.100000000000001" customHeight="1" x14ac:dyDescent="0.3">
      <c r="B298" s="19"/>
      <c r="C298" s="17"/>
      <c r="D298" s="4">
        <v>294</v>
      </c>
      <c r="E298" s="4">
        <v>21176</v>
      </c>
      <c r="F298" s="4" t="str">
        <f t="shared" si="19"/>
        <v>52B8</v>
      </c>
      <c r="G298" s="5" t="s">
        <v>411</v>
      </c>
      <c r="H298" s="5" t="s">
        <v>2087</v>
      </c>
      <c r="I298" s="4" t="s">
        <v>9</v>
      </c>
    </row>
    <row r="299" spans="2:9" ht="17.100000000000001" customHeight="1" x14ac:dyDescent="0.3">
      <c r="B299" s="19"/>
      <c r="C299" s="17"/>
      <c r="D299" s="4">
        <v>295</v>
      </c>
      <c r="E299" s="4">
        <v>21180</v>
      </c>
      <c r="F299" s="4" t="str">
        <f t="shared" si="19"/>
        <v>52BC</v>
      </c>
      <c r="G299" s="6" t="str">
        <f>"pUmem_Cmd_TBD_"&amp;F299</f>
        <v>pUmem_Cmd_TBD_52BC</v>
      </c>
      <c r="H299" s="6"/>
      <c r="I299" s="7"/>
    </row>
    <row r="300" spans="2:9" ht="17.100000000000001" customHeight="1" x14ac:dyDescent="0.3">
      <c r="B300" s="19"/>
      <c r="C300" s="17"/>
      <c r="D300" s="4">
        <v>296</v>
      </c>
      <c r="E300" s="4">
        <v>21184</v>
      </c>
      <c r="F300" s="4" t="str">
        <f t="shared" si="19"/>
        <v>52C0</v>
      </c>
      <c r="G300" s="6" t="str">
        <f t="shared" ref="G300:G302" si="21">"pUmem_Cmd_TBD_"&amp;F300</f>
        <v>pUmem_Cmd_TBD_52C0</v>
      </c>
      <c r="H300" s="6"/>
      <c r="I300" s="7"/>
    </row>
    <row r="301" spans="2:9" ht="17.100000000000001" customHeight="1" x14ac:dyDescent="0.3">
      <c r="B301" s="19"/>
      <c r="C301" s="17"/>
      <c r="D301" s="4">
        <v>297</v>
      </c>
      <c r="E301" s="4">
        <v>21188</v>
      </c>
      <c r="F301" s="4" t="str">
        <f t="shared" si="19"/>
        <v>52C4</v>
      </c>
      <c r="G301" s="6" t="str">
        <f t="shared" si="21"/>
        <v>pUmem_Cmd_TBD_52C4</v>
      </c>
      <c r="H301" s="6"/>
      <c r="I301" s="7"/>
    </row>
    <row r="302" spans="2:9" ht="17.100000000000001" customHeight="1" x14ac:dyDescent="0.3">
      <c r="B302" s="19"/>
      <c r="C302" s="17"/>
      <c r="D302" s="4">
        <v>298</v>
      </c>
      <c r="E302" s="4">
        <v>21192</v>
      </c>
      <c r="F302" s="4" t="str">
        <f t="shared" si="19"/>
        <v>52C8</v>
      </c>
      <c r="G302" s="6" t="str">
        <f t="shared" si="21"/>
        <v>pUmem_Cmd_TBD_52C8</v>
      </c>
      <c r="H302" s="6"/>
      <c r="I302" s="7"/>
    </row>
    <row r="303" spans="2:9" ht="17.100000000000001" customHeight="1" x14ac:dyDescent="0.3">
      <c r="B303" s="19"/>
      <c r="C303" s="17"/>
      <c r="D303" s="4">
        <v>299</v>
      </c>
      <c r="E303" s="4">
        <v>21196</v>
      </c>
      <c r="F303" s="4" t="str">
        <f t="shared" si="19"/>
        <v>52CC</v>
      </c>
      <c r="G303" s="6" t="str">
        <f>"pUmem_Cmd_TBD_"&amp;F303</f>
        <v>pUmem_Cmd_TBD_52CC</v>
      </c>
      <c r="H303" s="6"/>
      <c r="I303" s="7"/>
    </row>
    <row r="304" spans="2:9" ht="17.100000000000001" customHeight="1" x14ac:dyDescent="0.3">
      <c r="B304" s="19"/>
      <c r="C304" s="17" t="s">
        <v>290</v>
      </c>
      <c r="D304" s="4">
        <v>300</v>
      </c>
      <c r="E304" s="4">
        <v>21200</v>
      </c>
      <c r="F304" s="4" t="str">
        <f t="shared" si="19"/>
        <v>52D0</v>
      </c>
      <c r="G304" s="5" t="s">
        <v>412</v>
      </c>
      <c r="H304" s="5" t="s">
        <v>2073</v>
      </c>
      <c r="I304" s="4" t="s">
        <v>5</v>
      </c>
    </row>
    <row r="305" spans="2:9" ht="17.100000000000001" customHeight="1" x14ac:dyDescent="0.3">
      <c r="B305" s="19"/>
      <c r="C305" s="17"/>
      <c r="D305" s="4">
        <v>301</v>
      </c>
      <c r="E305" s="4">
        <v>21204</v>
      </c>
      <c r="F305" s="4" t="str">
        <f t="shared" si="19"/>
        <v>52D4</v>
      </c>
      <c r="G305" s="5" t="s">
        <v>413</v>
      </c>
      <c r="H305" s="5" t="s">
        <v>2074</v>
      </c>
      <c r="I305" s="4" t="s">
        <v>5</v>
      </c>
    </row>
    <row r="306" spans="2:9" ht="17.100000000000001" customHeight="1" x14ac:dyDescent="0.3">
      <c r="B306" s="19"/>
      <c r="C306" s="17"/>
      <c r="D306" s="4">
        <v>302</v>
      </c>
      <c r="E306" s="4">
        <v>21208</v>
      </c>
      <c r="F306" s="4" t="str">
        <f t="shared" si="19"/>
        <v>52D8</v>
      </c>
      <c r="G306" s="5" t="s">
        <v>414</v>
      </c>
      <c r="H306" s="5" t="s">
        <v>2075</v>
      </c>
      <c r="I306" s="4" t="s">
        <v>5</v>
      </c>
    </row>
    <row r="307" spans="2:9" ht="17.100000000000001" customHeight="1" x14ac:dyDescent="0.3">
      <c r="B307" s="19"/>
      <c r="C307" s="17"/>
      <c r="D307" s="4">
        <v>303</v>
      </c>
      <c r="E307" s="4">
        <v>21212</v>
      </c>
      <c r="F307" s="4" t="str">
        <f t="shared" si="19"/>
        <v>52DC</v>
      </c>
      <c r="G307" s="5" t="s">
        <v>415</v>
      </c>
      <c r="H307" s="5" t="s">
        <v>2076</v>
      </c>
      <c r="I307" s="4" t="s">
        <v>5</v>
      </c>
    </row>
    <row r="308" spans="2:9" ht="17.100000000000001" customHeight="1" x14ac:dyDescent="0.3">
      <c r="B308" s="19"/>
      <c r="C308" s="17"/>
      <c r="D308" s="4">
        <v>304</v>
      </c>
      <c r="E308" s="4">
        <v>21216</v>
      </c>
      <c r="F308" s="4" t="str">
        <f t="shared" si="19"/>
        <v>52E0</v>
      </c>
      <c r="G308" s="5" t="s">
        <v>416</v>
      </c>
      <c r="H308" s="5" t="s">
        <v>2077</v>
      </c>
      <c r="I308" s="4" t="s">
        <v>14</v>
      </c>
    </row>
    <row r="309" spans="2:9" ht="17.100000000000001" customHeight="1" x14ac:dyDescent="0.3">
      <c r="B309" s="19"/>
      <c r="C309" s="17"/>
      <c r="D309" s="4">
        <v>305</v>
      </c>
      <c r="E309" s="4">
        <v>21220</v>
      </c>
      <c r="F309" s="4" t="str">
        <f t="shared" si="19"/>
        <v>52E4</v>
      </c>
      <c r="G309" s="5" t="s">
        <v>417</v>
      </c>
      <c r="H309" s="5" t="s">
        <v>2078</v>
      </c>
      <c r="I309" s="4" t="s">
        <v>5</v>
      </c>
    </row>
    <row r="310" spans="2:9" ht="17.100000000000001" customHeight="1" x14ac:dyDescent="0.3">
      <c r="B310" s="19"/>
      <c r="C310" s="17"/>
      <c r="D310" s="4">
        <v>306</v>
      </c>
      <c r="E310" s="4">
        <v>21224</v>
      </c>
      <c r="F310" s="4" t="str">
        <f t="shared" si="19"/>
        <v>52E8</v>
      </c>
      <c r="G310" s="5" t="s">
        <v>418</v>
      </c>
      <c r="H310" s="5" t="s">
        <v>2079</v>
      </c>
      <c r="I310" s="4" t="s">
        <v>5</v>
      </c>
    </row>
    <row r="311" spans="2:9" ht="17.100000000000001" customHeight="1" x14ac:dyDescent="0.3">
      <c r="B311" s="19"/>
      <c r="C311" s="17"/>
      <c r="D311" s="4">
        <v>307</v>
      </c>
      <c r="E311" s="4">
        <v>21228</v>
      </c>
      <c r="F311" s="4" t="str">
        <f t="shared" si="19"/>
        <v>52EC</v>
      </c>
      <c r="G311" s="5" t="s">
        <v>419</v>
      </c>
      <c r="H311" s="5" t="s">
        <v>2080</v>
      </c>
      <c r="I311" s="4" t="s">
        <v>5</v>
      </c>
    </row>
    <row r="312" spans="2:9" ht="17.100000000000001" customHeight="1" x14ac:dyDescent="0.3">
      <c r="B312" s="19"/>
      <c r="C312" s="17"/>
      <c r="D312" s="4">
        <v>308</v>
      </c>
      <c r="E312" s="4">
        <v>21232</v>
      </c>
      <c r="F312" s="4" t="str">
        <f t="shared" si="19"/>
        <v>52F0</v>
      </c>
      <c r="G312" s="5" t="s">
        <v>420</v>
      </c>
      <c r="H312" s="5" t="s">
        <v>2081</v>
      </c>
      <c r="I312" s="4" t="s">
        <v>5</v>
      </c>
    </row>
    <row r="313" spans="2:9" ht="17.100000000000001" customHeight="1" x14ac:dyDescent="0.3">
      <c r="B313" s="19"/>
      <c r="C313" s="17"/>
      <c r="D313" s="4">
        <v>309</v>
      </c>
      <c r="E313" s="4">
        <v>21236</v>
      </c>
      <c r="F313" s="4" t="str">
        <f t="shared" si="19"/>
        <v>52F4</v>
      </c>
      <c r="G313" s="5" t="s">
        <v>421</v>
      </c>
      <c r="H313" s="5" t="s">
        <v>2082</v>
      </c>
      <c r="I313" s="4" t="s">
        <v>5</v>
      </c>
    </row>
    <row r="314" spans="2:9" ht="17.100000000000001" customHeight="1" x14ac:dyDescent="0.3">
      <c r="B314" s="19"/>
      <c r="C314" s="17"/>
      <c r="D314" s="4">
        <v>310</v>
      </c>
      <c r="E314" s="4">
        <v>21240</v>
      </c>
      <c r="F314" s="4" t="str">
        <f t="shared" si="19"/>
        <v>52F8</v>
      </c>
      <c r="G314" s="5" t="s">
        <v>422</v>
      </c>
      <c r="H314" s="5" t="s">
        <v>2083</v>
      </c>
      <c r="I314" s="4" t="s">
        <v>14</v>
      </c>
    </row>
    <row r="315" spans="2:9" ht="17.100000000000001" customHeight="1" x14ac:dyDescent="0.3">
      <c r="B315" s="19"/>
      <c r="C315" s="17"/>
      <c r="D315" s="4">
        <v>311</v>
      </c>
      <c r="E315" s="4">
        <v>21244</v>
      </c>
      <c r="F315" s="4" t="str">
        <f t="shared" si="19"/>
        <v>52FC</v>
      </c>
      <c r="G315" s="5" t="s">
        <v>423</v>
      </c>
      <c r="H315" s="5" t="s">
        <v>2084</v>
      </c>
      <c r="I315" s="4" t="s">
        <v>14</v>
      </c>
    </row>
    <row r="316" spans="2:9" ht="17.100000000000001" customHeight="1" x14ac:dyDescent="0.3">
      <c r="B316" s="19"/>
      <c r="C316" s="17"/>
      <c r="D316" s="4">
        <v>312</v>
      </c>
      <c r="E316" s="4">
        <v>21248</v>
      </c>
      <c r="F316" s="4" t="str">
        <f t="shared" si="19"/>
        <v>5300</v>
      </c>
      <c r="G316" s="5" t="s">
        <v>424</v>
      </c>
      <c r="H316" s="5" t="s">
        <v>2085</v>
      </c>
      <c r="I316" s="4" t="s">
        <v>15</v>
      </c>
    </row>
    <row r="317" spans="2:9" ht="17.100000000000001" customHeight="1" x14ac:dyDescent="0.3">
      <c r="B317" s="19"/>
      <c r="C317" s="17"/>
      <c r="D317" s="4">
        <v>313</v>
      </c>
      <c r="E317" s="4">
        <v>21252</v>
      </c>
      <c r="F317" s="4" t="str">
        <f t="shared" si="19"/>
        <v>5304</v>
      </c>
      <c r="G317" s="5" t="s">
        <v>425</v>
      </c>
      <c r="H317" s="5" t="s">
        <v>2086</v>
      </c>
      <c r="I317" s="4" t="s">
        <v>9</v>
      </c>
    </row>
    <row r="318" spans="2:9" ht="17.100000000000001" customHeight="1" x14ac:dyDescent="0.3">
      <c r="B318" s="19"/>
      <c r="C318" s="17"/>
      <c r="D318" s="4">
        <v>314</v>
      </c>
      <c r="E318" s="4">
        <v>21256</v>
      </c>
      <c r="F318" s="4" t="str">
        <f t="shared" si="19"/>
        <v>5308</v>
      </c>
      <c r="G318" s="5" t="s">
        <v>426</v>
      </c>
      <c r="H318" s="5" t="s">
        <v>2087</v>
      </c>
      <c r="I318" s="4" t="s">
        <v>9</v>
      </c>
    </row>
    <row r="319" spans="2:9" ht="17.100000000000001" customHeight="1" x14ac:dyDescent="0.3">
      <c r="B319" s="19"/>
      <c r="C319" s="17"/>
      <c r="D319" s="4">
        <v>315</v>
      </c>
      <c r="E319" s="4">
        <v>21260</v>
      </c>
      <c r="F319" s="4" t="str">
        <f t="shared" si="19"/>
        <v>530C</v>
      </c>
      <c r="G319" s="6" t="str">
        <f>"pUmem_Cmd_TBD_"&amp;F319</f>
        <v>pUmem_Cmd_TBD_530C</v>
      </c>
      <c r="H319" s="6"/>
      <c r="I319" s="7"/>
    </row>
    <row r="320" spans="2:9" ht="17.100000000000001" customHeight="1" x14ac:dyDescent="0.3">
      <c r="B320" s="19"/>
      <c r="C320" s="17"/>
      <c r="D320" s="4">
        <v>316</v>
      </c>
      <c r="E320" s="4">
        <v>21264</v>
      </c>
      <c r="F320" s="4" t="str">
        <f t="shared" si="19"/>
        <v>5310</v>
      </c>
      <c r="G320" s="6" t="str">
        <f t="shared" ref="G320:G322" si="22">"pUmem_Cmd_TBD_"&amp;F320</f>
        <v>pUmem_Cmd_TBD_5310</v>
      </c>
      <c r="H320" s="6"/>
      <c r="I320" s="7"/>
    </row>
    <row r="321" spans="2:9" ht="17.100000000000001" customHeight="1" x14ac:dyDescent="0.3">
      <c r="B321" s="19"/>
      <c r="C321" s="17"/>
      <c r="D321" s="4">
        <v>317</v>
      </c>
      <c r="E321" s="4">
        <v>21268</v>
      </c>
      <c r="F321" s="4" t="str">
        <f t="shared" si="19"/>
        <v>5314</v>
      </c>
      <c r="G321" s="6" t="str">
        <f t="shared" si="22"/>
        <v>pUmem_Cmd_TBD_5314</v>
      </c>
      <c r="H321" s="6"/>
      <c r="I321" s="7"/>
    </row>
    <row r="322" spans="2:9" ht="17.100000000000001" customHeight="1" x14ac:dyDescent="0.3">
      <c r="B322" s="19"/>
      <c r="C322" s="17"/>
      <c r="D322" s="4">
        <v>318</v>
      </c>
      <c r="E322" s="4">
        <v>21272</v>
      </c>
      <c r="F322" s="4" t="str">
        <f t="shared" si="19"/>
        <v>5318</v>
      </c>
      <c r="G322" s="6" t="str">
        <f t="shared" si="22"/>
        <v>pUmem_Cmd_TBD_5318</v>
      </c>
      <c r="H322" s="6"/>
      <c r="I322" s="7"/>
    </row>
    <row r="323" spans="2:9" ht="17.100000000000001" customHeight="1" x14ac:dyDescent="0.3">
      <c r="B323" s="19"/>
      <c r="C323" s="17"/>
      <c r="D323" s="4">
        <v>319</v>
      </c>
      <c r="E323" s="4">
        <v>21276</v>
      </c>
      <c r="F323" s="4" t="str">
        <f t="shared" si="19"/>
        <v>531C</v>
      </c>
      <c r="G323" s="6" t="str">
        <f>"pUmem_Cmd_TBD_"&amp;F323</f>
        <v>pUmem_Cmd_TBD_531C</v>
      </c>
      <c r="H323" s="6"/>
      <c r="I323" s="7"/>
    </row>
    <row r="324" spans="2:9" ht="17.100000000000001" customHeight="1" x14ac:dyDescent="0.3">
      <c r="B324" s="19" t="s">
        <v>13</v>
      </c>
      <c r="C324" s="17" t="s">
        <v>291</v>
      </c>
      <c r="D324" s="4">
        <v>320</v>
      </c>
      <c r="E324" s="4">
        <v>21280</v>
      </c>
      <c r="F324" s="4" t="str">
        <f t="shared" si="19"/>
        <v>5320</v>
      </c>
      <c r="G324" s="5" t="s">
        <v>427</v>
      </c>
      <c r="H324" s="5" t="s">
        <v>2073</v>
      </c>
      <c r="I324" s="4" t="s">
        <v>5</v>
      </c>
    </row>
    <row r="325" spans="2:9" ht="17.100000000000001" customHeight="1" x14ac:dyDescent="0.3">
      <c r="B325" s="19"/>
      <c r="C325" s="17"/>
      <c r="D325" s="4">
        <v>321</v>
      </c>
      <c r="E325" s="4">
        <v>21284</v>
      </c>
      <c r="F325" s="4" t="str">
        <f t="shared" si="19"/>
        <v>5324</v>
      </c>
      <c r="G325" s="5" t="s">
        <v>428</v>
      </c>
      <c r="H325" s="5" t="s">
        <v>2074</v>
      </c>
      <c r="I325" s="4" t="s">
        <v>5</v>
      </c>
    </row>
    <row r="326" spans="2:9" ht="17.100000000000001" customHeight="1" x14ac:dyDescent="0.3">
      <c r="B326" s="19"/>
      <c r="C326" s="17"/>
      <c r="D326" s="4">
        <v>322</v>
      </c>
      <c r="E326" s="4">
        <v>21288</v>
      </c>
      <c r="F326" s="4" t="str">
        <f t="shared" si="19"/>
        <v>5328</v>
      </c>
      <c r="G326" s="5" t="s">
        <v>429</v>
      </c>
      <c r="H326" s="5" t="s">
        <v>2075</v>
      </c>
      <c r="I326" s="4" t="s">
        <v>5</v>
      </c>
    </row>
    <row r="327" spans="2:9" ht="17.100000000000001" customHeight="1" x14ac:dyDescent="0.3">
      <c r="B327" s="19"/>
      <c r="C327" s="17"/>
      <c r="D327" s="4">
        <v>323</v>
      </c>
      <c r="E327" s="4">
        <v>21292</v>
      </c>
      <c r="F327" s="4" t="str">
        <f t="shared" si="19"/>
        <v>532C</v>
      </c>
      <c r="G327" s="5" t="s">
        <v>430</v>
      </c>
      <c r="H327" s="5" t="s">
        <v>2076</v>
      </c>
      <c r="I327" s="4" t="s">
        <v>5</v>
      </c>
    </row>
    <row r="328" spans="2:9" ht="17.100000000000001" customHeight="1" x14ac:dyDescent="0.3">
      <c r="B328" s="19"/>
      <c r="C328" s="17"/>
      <c r="D328" s="4">
        <v>324</v>
      </c>
      <c r="E328" s="4">
        <v>21296</v>
      </c>
      <c r="F328" s="4" t="str">
        <f t="shared" si="19"/>
        <v>5330</v>
      </c>
      <c r="G328" s="5" t="s">
        <v>431</v>
      </c>
      <c r="H328" s="5" t="s">
        <v>2077</v>
      </c>
      <c r="I328" s="4" t="s">
        <v>14</v>
      </c>
    </row>
    <row r="329" spans="2:9" ht="17.100000000000001" customHeight="1" x14ac:dyDescent="0.3">
      <c r="B329" s="19"/>
      <c r="C329" s="17"/>
      <c r="D329" s="4">
        <v>325</v>
      </c>
      <c r="E329" s="4">
        <v>21300</v>
      </c>
      <c r="F329" s="4" t="str">
        <f t="shared" ref="F329:F392" si="23">DEC2HEX(E329)</f>
        <v>5334</v>
      </c>
      <c r="G329" s="5" t="s">
        <v>432</v>
      </c>
      <c r="H329" s="5" t="s">
        <v>2078</v>
      </c>
      <c r="I329" s="4" t="s">
        <v>5</v>
      </c>
    </row>
    <row r="330" spans="2:9" ht="17.100000000000001" customHeight="1" x14ac:dyDescent="0.3">
      <c r="B330" s="19"/>
      <c r="C330" s="17"/>
      <c r="D330" s="4">
        <v>326</v>
      </c>
      <c r="E330" s="4">
        <v>21304</v>
      </c>
      <c r="F330" s="4" t="str">
        <f t="shared" si="23"/>
        <v>5338</v>
      </c>
      <c r="G330" s="5" t="s">
        <v>433</v>
      </c>
      <c r="H330" s="5" t="s">
        <v>2079</v>
      </c>
      <c r="I330" s="4" t="s">
        <v>5</v>
      </c>
    </row>
    <row r="331" spans="2:9" ht="17.100000000000001" customHeight="1" x14ac:dyDescent="0.3">
      <c r="B331" s="19"/>
      <c r="C331" s="17"/>
      <c r="D331" s="4">
        <v>327</v>
      </c>
      <c r="E331" s="4">
        <v>21308</v>
      </c>
      <c r="F331" s="4" t="str">
        <f t="shared" si="23"/>
        <v>533C</v>
      </c>
      <c r="G331" s="5" t="s">
        <v>434</v>
      </c>
      <c r="H331" s="5" t="s">
        <v>2080</v>
      </c>
      <c r="I331" s="4" t="s">
        <v>5</v>
      </c>
    </row>
    <row r="332" spans="2:9" ht="17.100000000000001" customHeight="1" x14ac:dyDescent="0.3">
      <c r="B332" s="19"/>
      <c r="C332" s="17"/>
      <c r="D332" s="4">
        <v>328</v>
      </c>
      <c r="E332" s="4">
        <v>21312</v>
      </c>
      <c r="F332" s="4" t="str">
        <f t="shared" si="23"/>
        <v>5340</v>
      </c>
      <c r="G332" s="5" t="s">
        <v>435</v>
      </c>
      <c r="H332" s="5" t="s">
        <v>2081</v>
      </c>
      <c r="I332" s="4" t="s">
        <v>5</v>
      </c>
    </row>
    <row r="333" spans="2:9" ht="17.100000000000001" customHeight="1" x14ac:dyDescent="0.3">
      <c r="B333" s="19"/>
      <c r="C333" s="17"/>
      <c r="D333" s="4">
        <v>329</v>
      </c>
      <c r="E333" s="4">
        <v>21316</v>
      </c>
      <c r="F333" s="4" t="str">
        <f t="shared" si="23"/>
        <v>5344</v>
      </c>
      <c r="G333" s="5" t="s">
        <v>436</v>
      </c>
      <c r="H333" s="5" t="s">
        <v>2082</v>
      </c>
      <c r="I333" s="4" t="s">
        <v>5</v>
      </c>
    </row>
    <row r="334" spans="2:9" ht="17.100000000000001" customHeight="1" x14ac:dyDescent="0.3">
      <c r="B334" s="19"/>
      <c r="C334" s="17"/>
      <c r="D334" s="4">
        <v>330</v>
      </c>
      <c r="E334" s="4">
        <v>21320</v>
      </c>
      <c r="F334" s="4" t="str">
        <f t="shared" si="23"/>
        <v>5348</v>
      </c>
      <c r="G334" s="5" t="s">
        <v>437</v>
      </c>
      <c r="H334" s="5" t="s">
        <v>2083</v>
      </c>
      <c r="I334" s="4" t="s">
        <v>14</v>
      </c>
    </row>
    <row r="335" spans="2:9" ht="17.100000000000001" customHeight="1" x14ac:dyDescent="0.3">
      <c r="B335" s="19"/>
      <c r="C335" s="17"/>
      <c r="D335" s="4">
        <v>331</v>
      </c>
      <c r="E335" s="4">
        <v>21324</v>
      </c>
      <c r="F335" s="4" t="str">
        <f t="shared" si="23"/>
        <v>534C</v>
      </c>
      <c r="G335" s="5" t="s">
        <v>438</v>
      </c>
      <c r="H335" s="5" t="s">
        <v>2084</v>
      </c>
      <c r="I335" s="4" t="s">
        <v>14</v>
      </c>
    </row>
    <row r="336" spans="2:9" ht="17.100000000000001" customHeight="1" x14ac:dyDescent="0.3">
      <c r="B336" s="19"/>
      <c r="C336" s="17"/>
      <c r="D336" s="4">
        <v>332</v>
      </c>
      <c r="E336" s="4">
        <v>21328</v>
      </c>
      <c r="F336" s="4" t="str">
        <f t="shared" si="23"/>
        <v>5350</v>
      </c>
      <c r="G336" s="5" t="s">
        <v>439</v>
      </c>
      <c r="H336" s="5" t="s">
        <v>2085</v>
      </c>
      <c r="I336" s="4" t="s">
        <v>15</v>
      </c>
    </row>
    <row r="337" spans="2:9" ht="17.100000000000001" customHeight="1" x14ac:dyDescent="0.3">
      <c r="B337" s="19"/>
      <c r="C337" s="17"/>
      <c r="D337" s="4">
        <v>333</v>
      </c>
      <c r="E337" s="4">
        <v>21332</v>
      </c>
      <c r="F337" s="4" t="str">
        <f t="shared" si="23"/>
        <v>5354</v>
      </c>
      <c r="G337" s="5" t="s">
        <v>440</v>
      </c>
      <c r="H337" s="5" t="s">
        <v>2086</v>
      </c>
      <c r="I337" s="4" t="s">
        <v>9</v>
      </c>
    </row>
    <row r="338" spans="2:9" ht="17.100000000000001" customHeight="1" x14ac:dyDescent="0.3">
      <c r="B338" s="19"/>
      <c r="C338" s="17"/>
      <c r="D338" s="4">
        <v>334</v>
      </c>
      <c r="E338" s="4">
        <v>21336</v>
      </c>
      <c r="F338" s="4" t="str">
        <f t="shared" si="23"/>
        <v>5358</v>
      </c>
      <c r="G338" s="5" t="s">
        <v>441</v>
      </c>
      <c r="H338" s="5" t="s">
        <v>2087</v>
      </c>
      <c r="I338" s="4" t="s">
        <v>9</v>
      </c>
    </row>
    <row r="339" spans="2:9" ht="17.100000000000001" customHeight="1" x14ac:dyDescent="0.3">
      <c r="B339" s="19"/>
      <c r="C339" s="17"/>
      <c r="D339" s="4">
        <v>335</v>
      </c>
      <c r="E339" s="4">
        <v>21340</v>
      </c>
      <c r="F339" s="4" t="str">
        <f t="shared" si="23"/>
        <v>535C</v>
      </c>
      <c r="G339" s="6" t="str">
        <f>"pUmem_Cmd_TBD_"&amp;F339</f>
        <v>pUmem_Cmd_TBD_535C</v>
      </c>
      <c r="H339" s="6"/>
      <c r="I339" s="7"/>
    </row>
    <row r="340" spans="2:9" ht="17.100000000000001" customHeight="1" x14ac:dyDescent="0.3">
      <c r="B340" s="19"/>
      <c r="C340" s="17"/>
      <c r="D340" s="4">
        <v>336</v>
      </c>
      <c r="E340" s="4">
        <v>21344</v>
      </c>
      <c r="F340" s="4" t="str">
        <f t="shared" si="23"/>
        <v>5360</v>
      </c>
      <c r="G340" s="6" t="str">
        <f t="shared" ref="G340:G342" si="24">"pUmem_Cmd_TBD_"&amp;F340</f>
        <v>pUmem_Cmd_TBD_5360</v>
      </c>
      <c r="H340" s="6"/>
      <c r="I340" s="7"/>
    </row>
    <row r="341" spans="2:9" ht="17.100000000000001" customHeight="1" x14ac:dyDescent="0.3">
      <c r="B341" s="19"/>
      <c r="C341" s="17"/>
      <c r="D341" s="4">
        <v>337</v>
      </c>
      <c r="E341" s="4">
        <v>21348</v>
      </c>
      <c r="F341" s="4" t="str">
        <f t="shared" si="23"/>
        <v>5364</v>
      </c>
      <c r="G341" s="6" t="str">
        <f t="shared" si="24"/>
        <v>pUmem_Cmd_TBD_5364</v>
      </c>
      <c r="H341" s="6"/>
      <c r="I341" s="7"/>
    </row>
    <row r="342" spans="2:9" ht="17.100000000000001" customHeight="1" x14ac:dyDescent="0.3">
      <c r="B342" s="19"/>
      <c r="C342" s="17"/>
      <c r="D342" s="4">
        <v>338</v>
      </c>
      <c r="E342" s="4">
        <v>21352</v>
      </c>
      <c r="F342" s="4" t="str">
        <f t="shared" si="23"/>
        <v>5368</v>
      </c>
      <c r="G342" s="6" t="str">
        <f t="shared" si="24"/>
        <v>pUmem_Cmd_TBD_5368</v>
      </c>
      <c r="H342" s="6"/>
      <c r="I342" s="7"/>
    </row>
    <row r="343" spans="2:9" ht="17.100000000000001" customHeight="1" x14ac:dyDescent="0.3">
      <c r="B343" s="19"/>
      <c r="C343" s="17"/>
      <c r="D343" s="4">
        <v>339</v>
      </c>
      <c r="E343" s="4">
        <v>21356</v>
      </c>
      <c r="F343" s="4" t="str">
        <f t="shared" si="23"/>
        <v>536C</v>
      </c>
      <c r="G343" s="6" t="str">
        <f>"pUmem_Cmd_TBD_"&amp;F343</f>
        <v>pUmem_Cmd_TBD_536C</v>
      </c>
      <c r="H343" s="6"/>
      <c r="I343" s="7"/>
    </row>
    <row r="344" spans="2:9" ht="17.100000000000001" customHeight="1" x14ac:dyDescent="0.3">
      <c r="B344" s="19"/>
      <c r="C344" s="17" t="s">
        <v>292</v>
      </c>
      <c r="D344" s="4">
        <v>340</v>
      </c>
      <c r="E344" s="4">
        <v>21360</v>
      </c>
      <c r="F344" s="4" t="str">
        <f t="shared" si="23"/>
        <v>5370</v>
      </c>
      <c r="G344" s="5" t="s">
        <v>442</v>
      </c>
      <c r="H344" s="5" t="s">
        <v>2073</v>
      </c>
      <c r="I344" s="4" t="s">
        <v>5</v>
      </c>
    </row>
    <row r="345" spans="2:9" ht="17.100000000000001" customHeight="1" x14ac:dyDescent="0.3">
      <c r="B345" s="19"/>
      <c r="C345" s="17"/>
      <c r="D345" s="4">
        <v>341</v>
      </c>
      <c r="E345" s="4">
        <v>21364</v>
      </c>
      <c r="F345" s="4" t="str">
        <f t="shared" si="23"/>
        <v>5374</v>
      </c>
      <c r="G345" s="5" t="s">
        <v>443</v>
      </c>
      <c r="H345" s="5" t="s">
        <v>2074</v>
      </c>
      <c r="I345" s="4" t="s">
        <v>5</v>
      </c>
    </row>
    <row r="346" spans="2:9" ht="17.100000000000001" customHeight="1" x14ac:dyDescent="0.3">
      <c r="B346" s="19"/>
      <c r="C346" s="17"/>
      <c r="D346" s="4">
        <v>342</v>
      </c>
      <c r="E346" s="4">
        <v>21368</v>
      </c>
      <c r="F346" s="4" t="str">
        <f t="shared" si="23"/>
        <v>5378</v>
      </c>
      <c r="G346" s="5" t="s">
        <v>444</v>
      </c>
      <c r="H346" s="5" t="s">
        <v>2075</v>
      </c>
      <c r="I346" s="4" t="s">
        <v>5</v>
      </c>
    </row>
    <row r="347" spans="2:9" ht="17.100000000000001" customHeight="1" x14ac:dyDescent="0.3">
      <c r="B347" s="19"/>
      <c r="C347" s="17"/>
      <c r="D347" s="4">
        <v>343</v>
      </c>
      <c r="E347" s="4">
        <v>21372</v>
      </c>
      <c r="F347" s="4" t="str">
        <f t="shared" si="23"/>
        <v>537C</v>
      </c>
      <c r="G347" s="5" t="s">
        <v>445</v>
      </c>
      <c r="H347" s="5" t="s">
        <v>2076</v>
      </c>
      <c r="I347" s="4" t="s">
        <v>5</v>
      </c>
    </row>
    <row r="348" spans="2:9" ht="17.100000000000001" customHeight="1" x14ac:dyDescent="0.3">
      <c r="B348" s="19"/>
      <c r="C348" s="17"/>
      <c r="D348" s="4">
        <v>344</v>
      </c>
      <c r="E348" s="4">
        <v>21376</v>
      </c>
      <c r="F348" s="4" t="str">
        <f t="shared" si="23"/>
        <v>5380</v>
      </c>
      <c r="G348" s="5" t="s">
        <v>446</v>
      </c>
      <c r="H348" s="5" t="s">
        <v>2077</v>
      </c>
      <c r="I348" s="4" t="s">
        <v>14</v>
      </c>
    </row>
    <row r="349" spans="2:9" ht="17.100000000000001" customHeight="1" x14ac:dyDescent="0.3">
      <c r="B349" s="19"/>
      <c r="C349" s="17"/>
      <c r="D349" s="4">
        <v>345</v>
      </c>
      <c r="E349" s="4">
        <v>21380</v>
      </c>
      <c r="F349" s="4" t="str">
        <f t="shared" si="23"/>
        <v>5384</v>
      </c>
      <c r="G349" s="5" t="s">
        <v>447</v>
      </c>
      <c r="H349" s="5" t="s">
        <v>2078</v>
      </c>
      <c r="I349" s="4" t="s">
        <v>5</v>
      </c>
    </row>
    <row r="350" spans="2:9" ht="17.100000000000001" customHeight="1" x14ac:dyDescent="0.3">
      <c r="B350" s="19"/>
      <c r="C350" s="17"/>
      <c r="D350" s="4">
        <v>346</v>
      </c>
      <c r="E350" s="4">
        <v>21384</v>
      </c>
      <c r="F350" s="4" t="str">
        <f t="shared" si="23"/>
        <v>5388</v>
      </c>
      <c r="G350" s="5" t="s">
        <v>448</v>
      </c>
      <c r="H350" s="5" t="s">
        <v>2079</v>
      </c>
      <c r="I350" s="4" t="s">
        <v>5</v>
      </c>
    </row>
    <row r="351" spans="2:9" ht="17.100000000000001" customHeight="1" x14ac:dyDescent="0.3">
      <c r="B351" s="19"/>
      <c r="C351" s="17"/>
      <c r="D351" s="4">
        <v>347</v>
      </c>
      <c r="E351" s="4">
        <v>21388</v>
      </c>
      <c r="F351" s="4" t="str">
        <f t="shared" si="23"/>
        <v>538C</v>
      </c>
      <c r="G351" s="5" t="s">
        <v>449</v>
      </c>
      <c r="H351" s="5" t="s">
        <v>2080</v>
      </c>
      <c r="I351" s="4" t="s">
        <v>5</v>
      </c>
    </row>
    <row r="352" spans="2:9" ht="17.100000000000001" customHeight="1" x14ac:dyDescent="0.3">
      <c r="B352" s="19"/>
      <c r="C352" s="17"/>
      <c r="D352" s="4">
        <v>348</v>
      </c>
      <c r="E352" s="4">
        <v>21392</v>
      </c>
      <c r="F352" s="4" t="str">
        <f t="shared" si="23"/>
        <v>5390</v>
      </c>
      <c r="G352" s="5" t="s">
        <v>450</v>
      </c>
      <c r="H352" s="5" t="s">
        <v>2081</v>
      </c>
      <c r="I352" s="4" t="s">
        <v>5</v>
      </c>
    </row>
    <row r="353" spans="2:9" ht="17.100000000000001" customHeight="1" x14ac:dyDescent="0.3">
      <c r="B353" s="19"/>
      <c r="C353" s="17"/>
      <c r="D353" s="4">
        <v>349</v>
      </c>
      <c r="E353" s="4">
        <v>21396</v>
      </c>
      <c r="F353" s="4" t="str">
        <f t="shared" si="23"/>
        <v>5394</v>
      </c>
      <c r="G353" s="5" t="s">
        <v>451</v>
      </c>
      <c r="H353" s="5" t="s">
        <v>2082</v>
      </c>
      <c r="I353" s="4" t="s">
        <v>5</v>
      </c>
    </row>
    <row r="354" spans="2:9" ht="17.100000000000001" customHeight="1" x14ac:dyDescent="0.3">
      <c r="B354" s="19"/>
      <c r="C354" s="17"/>
      <c r="D354" s="4">
        <v>350</v>
      </c>
      <c r="E354" s="4">
        <v>21400</v>
      </c>
      <c r="F354" s="4" t="str">
        <f t="shared" si="23"/>
        <v>5398</v>
      </c>
      <c r="G354" s="5" t="s">
        <v>452</v>
      </c>
      <c r="H354" s="5" t="s">
        <v>2083</v>
      </c>
      <c r="I354" s="4" t="s">
        <v>14</v>
      </c>
    </row>
    <row r="355" spans="2:9" ht="17.100000000000001" customHeight="1" x14ac:dyDescent="0.3">
      <c r="B355" s="19"/>
      <c r="C355" s="17"/>
      <c r="D355" s="4">
        <v>351</v>
      </c>
      <c r="E355" s="4">
        <v>21404</v>
      </c>
      <c r="F355" s="4" t="str">
        <f t="shared" si="23"/>
        <v>539C</v>
      </c>
      <c r="G355" s="5" t="s">
        <v>453</v>
      </c>
      <c r="H355" s="5" t="s">
        <v>2084</v>
      </c>
      <c r="I355" s="4" t="s">
        <v>14</v>
      </c>
    </row>
    <row r="356" spans="2:9" ht="17.100000000000001" customHeight="1" x14ac:dyDescent="0.3">
      <c r="B356" s="19"/>
      <c r="C356" s="17"/>
      <c r="D356" s="4">
        <v>352</v>
      </c>
      <c r="E356" s="4">
        <v>21408</v>
      </c>
      <c r="F356" s="4" t="str">
        <f t="shared" si="23"/>
        <v>53A0</v>
      </c>
      <c r="G356" s="5" t="s">
        <v>454</v>
      </c>
      <c r="H356" s="5" t="s">
        <v>2085</v>
      </c>
      <c r="I356" s="4" t="s">
        <v>15</v>
      </c>
    </row>
    <row r="357" spans="2:9" ht="17.100000000000001" customHeight="1" x14ac:dyDescent="0.3">
      <c r="B357" s="19"/>
      <c r="C357" s="17"/>
      <c r="D357" s="4">
        <v>353</v>
      </c>
      <c r="E357" s="4">
        <v>21412</v>
      </c>
      <c r="F357" s="4" t="str">
        <f t="shared" si="23"/>
        <v>53A4</v>
      </c>
      <c r="G357" s="5" t="s">
        <v>455</v>
      </c>
      <c r="H357" s="5" t="s">
        <v>2086</v>
      </c>
      <c r="I357" s="4" t="s">
        <v>9</v>
      </c>
    </row>
    <row r="358" spans="2:9" ht="17.100000000000001" customHeight="1" x14ac:dyDescent="0.3">
      <c r="B358" s="19"/>
      <c r="C358" s="17"/>
      <c r="D358" s="4">
        <v>354</v>
      </c>
      <c r="E358" s="4">
        <v>21416</v>
      </c>
      <c r="F358" s="4" t="str">
        <f t="shared" si="23"/>
        <v>53A8</v>
      </c>
      <c r="G358" s="5" t="s">
        <v>456</v>
      </c>
      <c r="H358" s="5" t="s">
        <v>2087</v>
      </c>
      <c r="I358" s="4" t="s">
        <v>9</v>
      </c>
    </row>
    <row r="359" spans="2:9" ht="17.100000000000001" customHeight="1" x14ac:dyDescent="0.3">
      <c r="B359" s="19"/>
      <c r="C359" s="17"/>
      <c r="D359" s="4">
        <v>355</v>
      </c>
      <c r="E359" s="4">
        <v>21420</v>
      </c>
      <c r="F359" s="4" t="str">
        <f t="shared" si="23"/>
        <v>53AC</v>
      </c>
      <c r="G359" s="6" t="str">
        <f>"pUmem_Cmd_TBD_"&amp;F359</f>
        <v>pUmem_Cmd_TBD_53AC</v>
      </c>
      <c r="H359" s="6"/>
      <c r="I359" s="7"/>
    </row>
    <row r="360" spans="2:9" ht="17.100000000000001" customHeight="1" x14ac:dyDescent="0.3">
      <c r="B360" s="19"/>
      <c r="C360" s="17"/>
      <c r="D360" s="4">
        <v>356</v>
      </c>
      <c r="E360" s="4">
        <v>21424</v>
      </c>
      <c r="F360" s="4" t="str">
        <f t="shared" si="23"/>
        <v>53B0</v>
      </c>
      <c r="G360" s="6" t="str">
        <f t="shared" ref="G360:G362" si="25">"pUmem_Cmd_TBD_"&amp;F360</f>
        <v>pUmem_Cmd_TBD_53B0</v>
      </c>
      <c r="H360" s="6"/>
      <c r="I360" s="7"/>
    </row>
    <row r="361" spans="2:9" ht="17.100000000000001" customHeight="1" x14ac:dyDescent="0.3">
      <c r="B361" s="19"/>
      <c r="C361" s="17"/>
      <c r="D361" s="4">
        <v>357</v>
      </c>
      <c r="E361" s="4">
        <v>21428</v>
      </c>
      <c r="F361" s="4" t="str">
        <f t="shared" si="23"/>
        <v>53B4</v>
      </c>
      <c r="G361" s="6" t="str">
        <f t="shared" si="25"/>
        <v>pUmem_Cmd_TBD_53B4</v>
      </c>
      <c r="H361" s="6"/>
      <c r="I361" s="7"/>
    </row>
    <row r="362" spans="2:9" ht="17.100000000000001" customHeight="1" x14ac:dyDescent="0.3">
      <c r="B362" s="19"/>
      <c r="C362" s="17"/>
      <c r="D362" s="4">
        <v>358</v>
      </c>
      <c r="E362" s="4">
        <v>21432</v>
      </c>
      <c r="F362" s="4" t="str">
        <f t="shared" si="23"/>
        <v>53B8</v>
      </c>
      <c r="G362" s="6" t="str">
        <f t="shared" si="25"/>
        <v>pUmem_Cmd_TBD_53B8</v>
      </c>
      <c r="H362" s="6"/>
      <c r="I362" s="7"/>
    </row>
    <row r="363" spans="2:9" ht="17.100000000000001" customHeight="1" x14ac:dyDescent="0.3">
      <c r="B363" s="19"/>
      <c r="C363" s="17"/>
      <c r="D363" s="4">
        <v>359</v>
      </c>
      <c r="E363" s="4">
        <v>21436</v>
      </c>
      <c r="F363" s="4" t="str">
        <f t="shared" si="23"/>
        <v>53BC</v>
      </c>
      <c r="G363" s="6" t="str">
        <f>"pUmem_Cmd_TBD_"&amp;F363</f>
        <v>pUmem_Cmd_TBD_53BC</v>
      </c>
      <c r="H363" s="6"/>
      <c r="I363" s="7"/>
    </row>
    <row r="364" spans="2:9" ht="17.100000000000001" customHeight="1" x14ac:dyDescent="0.3">
      <c r="B364" s="19"/>
      <c r="C364" s="17" t="s">
        <v>293</v>
      </c>
      <c r="D364" s="4">
        <v>360</v>
      </c>
      <c r="E364" s="4">
        <v>21440</v>
      </c>
      <c r="F364" s="4" t="str">
        <f t="shared" si="23"/>
        <v>53C0</v>
      </c>
      <c r="G364" s="5" t="s">
        <v>457</v>
      </c>
      <c r="H364" s="5" t="s">
        <v>2073</v>
      </c>
      <c r="I364" s="4" t="s">
        <v>5</v>
      </c>
    </row>
    <row r="365" spans="2:9" ht="17.100000000000001" customHeight="1" x14ac:dyDescent="0.3">
      <c r="B365" s="19"/>
      <c r="C365" s="17"/>
      <c r="D365" s="4">
        <v>361</v>
      </c>
      <c r="E365" s="4">
        <v>21444</v>
      </c>
      <c r="F365" s="4" t="str">
        <f t="shared" si="23"/>
        <v>53C4</v>
      </c>
      <c r="G365" s="5" t="s">
        <v>458</v>
      </c>
      <c r="H365" s="5" t="s">
        <v>2074</v>
      </c>
      <c r="I365" s="4" t="s">
        <v>5</v>
      </c>
    </row>
    <row r="366" spans="2:9" ht="17.100000000000001" customHeight="1" x14ac:dyDescent="0.3">
      <c r="B366" s="19"/>
      <c r="C366" s="17"/>
      <c r="D366" s="4">
        <v>362</v>
      </c>
      <c r="E366" s="4">
        <v>21448</v>
      </c>
      <c r="F366" s="4" t="str">
        <f t="shared" si="23"/>
        <v>53C8</v>
      </c>
      <c r="G366" s="5" t="s">
        <v>459</v>
      </c>
      <c r="H366" s="5" t="s">
        <v>2075</v>
      </c>
      <c r="I366" s="4" t="s">
        <v>5</v>
      </c>
    </row>
    <row r="367" spans="2:9" ht="17.100000000000001" customHeight="1" x14ac:dyDescent="0.3">
      <c r="B367" s="19"/>
      <c r="C367" s="17"/>
      <c r="D367" s="4">
        <v>363</v>
      </c>
      <c r="E367" s="4">
        <v>21452</v>
      </c>
      <c r="F367" s="4" t="str">
        <f t="shared" si="23"/>
        <v>53CC</v>
      </c>
      <c r="G367" s="5" t="s">
        <v>460</v>
      </c>
      <c r="H367" s="5" t="s">
        <v>2076</v>
      </c>
      <c r="I367" s="4" t="s">
        <v>5</v>
      </c>
    </row>
    <row r="368" spans="2:9" ht="17.100000000000001" customHeight="1" x14ac:dyDescent="0.3">
      <c r="B368" s="19"/>
      <c r="C368" s="17"/>
      <c r="D368" s="4">
        <v>364</v>
      </c>
      <c r="E368" s="4">
        <v>21456</v>
      </c>
      <c r="F368" s="4" t="str">
        <f t="shared" si="23"/>
        <v>53D0</v>
      </c>
      <c r="G368" s="5" t="s">
        <v>461</v>
      </c>
      <c r="H368" s="5" t="s">
        <v>2077</v>
      </c>
      <c r="I368" s="4" t="s">
        <v>14</v>
      </c>
    </row>
    <row r="369" spans="2:9" ht="17.100000000000001" customHeight="1" x14ac:dyDescent="0.3">
      <c r="B369" s="19"/>
      <c r="C369" s="17"/>
      <c r="D369" s="4">
        <v>365</v>
      </c>
      <c r="E369" s="4">
        <v>21460</v>
      </c>
      <c r="F369" s="4" t="str">
        <f t="shared" si="23"/>
        <v>53D4</v>
      </c>
      <c r="G369" s="5" t="s">
        <v>462</v>
      </c>
      <c r="H369" s="5" t="s">
        <v>2078</v>
      </c>
      <c r="I369" s="4" t="s">
        <v>5</v>
      </c>
    </row>
    <row r="370" spans="2:9" ht="17.100000000000001" customHeight="1" x14ac:dyDescent="0.3">
      <c r="B370" s="19"/>
      <c r="C370" s="17"/>
      <c r="D370" s="4">
        <v>366</v>
      </c>
      <c r="E370" s="4">
        <v>21464</v>
      </c>
      <c r="F370" s="4" t="str">
        <f t="shared" si="23"/>
        <v>53D8</v>
      </c>
      <c r="G370" s="5" t="s">
        <v>463</v>
      </c>
      <c r="H370" s="5" t="s">
        <v>2079</v>
      </c>
      <c r="I370" s="4" t="s">
        <v>5</v>
      </c>
    </row>
    <row r="371" spans="2:9" ht="17.100000000000001" customHeight="1" x14ac:dyDescent="0.3">
      <c r="B371" s="19"/>
      <c r="C371" s="17"/>
      <c r="D371" s="4">
        <v>367</v>
      </c>
      <c r="E371" s="4">
        <v>21468</v>
      </c>
      <c r="F371" s="4" t="str">
        <f t="shared" si="23"/>
        <v>53DC</v>
      </c>
      <c r="G371" s="5" t="s">
        <v>464</v>
      </c>
      <c r="H371" s="5" t="s">
        <v>2080</v>
      </c>
      <c r="I371" s="4" t="s">
        <v>5</v>
      </c>
    </row>
    <row r="372" spans="2:9" ht="17.100000000000001" customHeight="1" x14ac:dyDescent="0.3">
      <c r="B372" s="19"/>
      <c r="C372" s="17"/>
      <c r="D372" s="4">
        <v>368</v>
      </c>
      <c r="E372" s="4">
        <v>21472</v>
      </c>
      <c r="F372" s="4" t="str">
        <f t="shared" si="23"/>
        <v>53E0</v>
      </c>
      <c r="G372" s="5" t="s">
        <v>465</v>
      </c>
      <c r="H372" s="5" t="s">
        <v>2081</v>
      </c>
      <c r="I372" s="4" t="s">
        <v>5</v>
      </c>
    </row>
    <row r="373" spans="2:9" ht="17.100000000000001" customHeight="1" x14ac:dyDescent="0.3">
      <c r="B373" s="19"/>
      <c r="C373" s="17"/>
      <c r="D373" s="4">
        <v>369</v>
      </c>
      <c r="E373" s="4">
        <v>21476</v>
      </c>
      <c r="F373" s="4" t="str">
        <f t="shared" si="23"/>
        <v>53E4</v>
      </c>
      <c r="G373" s="5" t="s">
        <v>466</v>
      </c>
      <c r="H373" s="5" t="s">
        <v>2082</v>
      </c>
      <c r="I373" s="4" t="s">
        <v>5</v>
      </c>
    </row>
    <row r="374" spans="2:9" ht="17.100000000000001" customHeight="1" x14ac:dyDescent="0.3">
      <c r="B374" s="19"/>
      <c r="C374" s="17"/>
      <c r="D374" s="4">
        <v>370</v>
      </c>
      <c r="E374" s="4">
        <v>21480</v>
      </c>
      <c r="F374" s="4" t="str">
        <f t="shared" si="23"/>
        <v>53E8</v>
      </c>
      <c r="G374" s="5" t="s">
        <v>467</v>
      </c>
      <c r="H374" s="5" t="s">
        <v>2083</v>
      </c>
      <c r="I374" s="4" t="s">
        <v>14</v>
      </c>
    </row>
    <row r="375" spans="2:9" ht="17.100000000000001" customHeight="1" x14ac:dyDescent="0.3">
      <c r="B375" s="19"/>
      <c r="C375" s="17"/>
      <c r="D375" s="4">
        <v>371</v>
      </c>
      <c r="E375" s="4">
        <v>21484</v>
      </c>
      <c r="F375" s="4" t="str">
        <f t="shared" si="23"/>
        <v>53EC</v>
      </c>
      <c r="G375" s="5" t="s">
        <v>468</v>
      </c>
      <c r="H375" s="5" t="s">
        <v>2084</v>
      </c>
      <c r="I375" s="4" t="s">
        <v>14</v>
      </c>
    </row>
    <row r="376" spans="2:9" ht="17.100000000000001" customHeight="1" x14ac:dyDescent="0.3">
      <c r="B376" s="19"/>
      <c r="C376" s="17"/>
      <c r="D376" s="4">
        <v>372</v>
      </c>
      <c r="E376" s="4">
        <v>21488</v>
      </c>
      <c r="F376" s="4" t="str">
        <f t="shared" si="23"/>
        <v>53F0</v>
      </c>
      <c r="G376" s="5" t="s">
        <v>469</v>
      </c>
      <c r="H376" s="5" t="s">
        <v>2085</v>
      </c>
      <c r="I376" s="4" t="s">
        <v>15</v>
      </c>
    </row>
    <row r="377" spans="2:9" ht="17.100000000000001" customHeight="1" x14ac:dyDescent="0.3">
      <c r="B377" s="19"/>
      <c r="C377" s="17"/>
      <c r="D377" s="4">
        <v>373</v>
      </c>
      <c r="E377" s="4">
        <v>21492</v>
      </c>
      <c r="F377" s="4" t="str">
        <f t="shared" si="23"/>
        <v>53F4</v>
      </c>
      <c r="G377" s="5" t="s">
        <v>470</v>
      </c>
      <c r="H377" s="5" t="s">
        <v>2086</v>
      </c>
      <c r="I377" s="4" t="s">
        <v>9</v>
      </c>
    </row>
    <row r="378" spans="2:9" ht="17.100000000000001" customHeight="1" x14ac:dyDescent="0.3">
      <c r="B378" s="19"/>
      <c r="C378" s="17"/>
      <c r="D378" s="4">
        <v>374</v>
      </c>
      <c r="E378" s="4">
        <v>21496</v>
      </c>
      <c r="F378" s="4" t="str">
        <f t="shared" si="23"/>
        <v>53F8</v>
      </c>
      <c r="G378" s="5" t="s">
        <v>471</v>
      </c>
      <c r="H378" s="5" t="s">
        <v>2087</v>
      </c>
      <c r="I378" s="4" t="s">
        <v>9</v>
      </c>
    </row>
    <row r="379" spans="2:9" ht="17.100000000000001" customHeight="1" x14ac:dyDescent="0.3">
      <c r="B379" s="19"/>
      <c r="C379" s="17"/>
      <c r="D379" s="4">
        <v>375</v>
      </c>
      <c r="E379" s="4">
        <v>21500</v>
      </c>
      <c r="F379" s="4" t="str">
        <f t="shared" si="23"/>
        <v>53FC</v>
      </c>
      <c r="G379" s="6" t="str">
        <f>"pUmem_Cmd_TBD_"&amp;F379</f>
        <v>pUmem_Cmd_TBD_53FC</v>
      </c>
      <c r="H379" s="6"/>
      <c r="I379" s="7"/>
    </row>
    <row r="380" spans="2:9" ht="17.100000000000001" customHeight="1" x14ac:dyDescent="0.3">
      <c r="B380" s="19"/>
      <c r="C380" s="17"/>
      <c r="D380" s="4">
        <v>376</v>
      </c>
      <c r="E380" s="4">
        <v>21504</v>
      </c>
      <c r="F380" s="4" t="str">
        <f t="shared" si="23"/>
        <v>5400</v>
      </c>
      <c r="G380" s="6" t="str">
        <f t="shared" ref="G380:G382" si="26">"pUmem_Cmd_TBD_"&amp;F380</f>
        <v>pUmem_Cmd_TBD_5400</v>
      </c>
      <c r="H380" s="6"/>
      <c r="I380" s="7"/>
    </row>
    <row r="381" spans="2:9" ht="17.100000000000001" customHeight="1" x14ac:dyDescent="0.3">
      <c r="B381" s="19"/>
      <c r="C381" s="17"/>
      <c r="D381" s="4">
        <v>377</v>
      </c>
      <c r="E381" s="4">
        <v>21508</v>
      </c>
      <c r="F381" s="4" t="str">
        <f t="shared" si="23"/>
        <v>5404</v>
      </c>
      <c r="G381" s="6" t="str">
        <f t="shared" si="26"/>
        <v>pUmem_Cmd_TBD_5404</v>
      </c>
      <c r="H381" s="6"/>
      <c r="I381" s="7"/>
    </row>
    <row r="382" spans="2:9" ht="17.100000000000001" customHeight="1" x14ac:dyDescent="0.3">
      <c r="B382" s="19"/>
      <c r="C382" s="17"/>
      <c r="D382" s="4">
        <v>378</v>
      </c>
      <c r="E382" s="4">
        <v>21512</v>
      </c>
      <c r="F382" s="4" t="str">
        <f t="shared" si="23"/>
        <v>5408</v>
      </c>
      <c r="G382" s="6" t="str">
        <f t="shared" si="26"/>
        <v>pUmem_Cmd_TBD_5408</v>
      </c>
      <c r="H382" s="6"/>
      <c r="I382" s="7"/>
    </row>
    <row r="383" spans="2:9" ht="17.100000000000001" customHeight="1" x14ac:dyDescent="0.3">
      <c r="B383" s="19"/>
      <c r="C383" s="17"/>
      <c r="D383" s="4">
        <v>379</v>
      </c>
      <c r="E383" s="4">
        <v>21516</v>
      </c>
      <c r="F383" s="4" t="str">
        <f t="shared" si="23"/>
        <v>540C</v>
      </c>
      <c r="G383" s="6" t="str">
        <f>"pUmem_Cmd_TBD_"&amp;F383</f>
        <v>pUmem_Cmd_TBD_540C</v>
      </c>
      <c r="H383" s="6"/>
      <c r="I383" s="7"/>
    </row>
    <row r="384" spans="2:9" ht="17.100000000000001" customHeight="1" x14ac:dyDescent="0.3">
      <c r="B384" s="19"/>
      <c r="C384" s="17" t="s">
        <v>294</v>
      </c>
      <c r="D384" s="4">
        <v>380</v>
      </c>
      <c r="E384" s="4">
        <v>21520</v>
      </c>
      <c r="F384" s="4" t="str">
        <f t="shared" si="23"/>
        <v>5410</v>
      </c>
      <c r="G384" s="5" t="s">
        <v>472</v>
      </c>
      <c r="H384" s="5" t="s">
        <v>2073</v>
      </c>
      <c r="I384" s="4" t="s">
        <v>5</v>
      </c>
    </row>
    <row r="385" spans="2:9" ht="17.100000000000001" customHeight="1" x14ac:dyDescent="0.3">
      <c r="B385" s="19"/>
      <c r="C385" s="17"/>
      <c r="D385" s="4">
        <v>381</v>
      </c>
      <c r="E385" s="4">
        <v>21524</v>
      </c>
      <c r="F385" s="4" t="str">
        <f t="shared" si="23"/>
        <v>5414</v>
      </c>
      <c r="G385" s="5" t="s">
        <v>473</v>
      </c>
      <c r="H385" s="5" t="s">
        <v>2074</v>
      </c>
      <c r="I385" s="4" t="s">
        <v>5</v>
      </c>
    </row>
    <row r="386" spans="2:9" ht="17.100000000000001" customHeight="1" x14ac:dyDescent="0.3">
      <c r="B386" s="19"/>
      <c r="C386" s="17"/>
      <c r="D386" s="4">
        <v>382</v>
      </c>
      <c r="E386" s="4">
        <v>21528</v>
      </c>
      <c r="F386" s="4" t="str">
        <f t="shared" si="23"/>
        <v>5418</v>
      </c>
      <c r="G386" s="5" t="s">
        <v>474</v>
      </c>
      <c r="H386" s="5" t="s">
        <v>2075</v>
      </c>
      <c r="I386" s="4" t="s">
        <v>5</v>
      </c>
    </row>
    <row r="387" spans="2:9" ht="17.100000000000001" customHeight="1" x14ac:dyDescent="0.3">
      <c r="B387" s="19"/>
      <c r="C387" s="17"/>
      <c r="D387" s="4">
        <v>383</v>
      </c>
      <c r="E387" s="4">
        <v>21532</v>
      </c>
      <c r="F387" s="4" t="str">
        <f t="shared" si="23"/>
        <v>541C</v>
      </c>
      <c r="G387" s="5" t="s">
        <v>475</v>
      </c>
      <c r="H387" s="5" t="s">
        <v>2076</v>
      </c>
      <c r="I387" s="4" t="s">
        <v>5</v>
      </c>
    </row>
    <row r="388" spans="2:9" ht="17.100000000000001" customHeight="1" x14ac:dyDescent="0.3">
      <c r="B388" s="19"/>
      <c r="C388" s="17"/>
      <c r="D388" s="4">
        <v>384</v>
      </c>
      <c r="E388" s="4">
        <v>21536</v>
      </c>
      <c r="F388" s="4" t="str">
        <f t="shared" si="23"/>
        <v>5420</v>
      </c>
      <c r="G388" s="5" t="s">
        <v>476</v>
      </c>
      <c r="H388" s="5" t="s">
        <v>2077</v>
      </c>
      <c r="I388" s="4" t="s">
        <v>14</v>
      </c>
    </row>
    <row r="389" spans="2:9" ht="17.100000000000001" customHeight="1" x14ac:dyDescent="0.3">
      <c r="B389" s="19"/>
      <c r="C389" s="17"/>
      <c r="D389" s="4">
        <v>385</v>
      </c>
      <c r="E389" s="4">
        <v>21540</v>
      </c>
      <c r="F389" s="4" t="str">
        <f t="shared" si="23"/>
        <v>5424</v>
      </c>
      <c r="G389" s="5" t="s">
        <v>477</v>
      </c>
      <c r="H389" s="5" t="s">
        <v>2078</v>
      </c>
      <c r="I389" s="4" t="s">
        <v>5</v>
      </c>
    </row>
    <row r="390" spans="2:9" ht="17.100000000000001" customHeight="1" x14ac:dyDescent="0.3">
      <c r="B390" s="19"/>
      <c r="C390" s="17"/>
      <c r="D390" s="4">
        <v>386</v>
      </c>
      <c r="E390" s="4">
        <v>21544</v>
      </c>
      <c r="F390" s="4" t="str">
        <f t="shared" si="23"/>
        <v>5428</v>
      </c>
      <c r="G390" s="5" t="s">
        <v>478</v>
      </c>
      <c r="H390" s="5" t="s">
        <v>2079</v>
      </c>
      <c r="I390" s="4" t="s">
        <v>5</v>
      </c>
    </row>
    <row r="391" spans="2:9" ht="17.100000000000001" customHeight="1" x14ac:dyDescent="0.3">
      <c r="B391" s="19"/>
      <c r="C391" s="17"/>
      <c r="D391" s="4">
        <v>387</v>
      </c>
      <c r="E391" s="4">
        <v>21548</v>
      </c>
      <c r="F391" s="4" t="str">
        <f t="shared" si="23"/>
        <v>542C</v>
      </c>
      <c r="G391" s="5" t="s">
        <v>479</v>
      </c>
      <c r="H391" s="5" t="s">
        <v>2080</v>
      </c>
      <c r="I391" s="4" t="s">
        <v>5</v>
      </c>
    </row>
    <row r="392" spans="2:9" ht="17.100000000000001" customHeight="1" x14ac:dyDescent="0.3">
      <c r="B392" s="19"/>
      <c r="C392" s="17"/>
      <c r="D392" s="4">
        <v>388</v>
      </c>
      <c r="E392" s="4">
        <v>21552</v>
      </c>
      <c r="F392" s="4" t="str">
        <f t="shared" si="23"/>
        <v>5430</v>
      </c>
      <c r="G392" s="5" t="s">
        <v>480</v>
      </c>
      <c r="H392" s="5" t="s">
        <v>2081</v>
      </c>
      <c r="I392" s="4" t="s">
        <v>5</v>
      </c>
    </row>
    <row r="393" spans="2:9" ht="17.100000000000001" customHeight="1" x14ac:dyDescent="0.3">
      <c r="B393" s="19"/>
      <c r="C393" s="17"/>
      <c r="D393" s="4">
        <v>389</v>
      </c>
      <c r="E393" s="4">
        <v>21556</v>
      </c>
      <c r="F393" s="4" t="str">
        <f t="shared" ref="F393:F456" si="27">DEC2HEX(E393)</f>
        <v>5434</v>
      </c>
      <c r="G393" s="5" t="s">
        <v>481</v>
      </c>
      <c r="H393" s="5" t="s">
        <v>2082</v>
      </c>
      <c r="I393" s="4" t="s">
        <v>5</v>
      </c>
    </row>
    <row r="394" spans="2:9" ht="17.100000000000001" customHeight="1" x14ac:dyDescent="0.3">
      <c r="B394" s="19"/>
      <c r="C394" s="17"/>
      <c r="D394" s="4">
        <v>390</v>
      </c>
      <c r="E394" s="4">
        <v>21560</v>
      </c>
      <c r="F394" s="4" t="str">
        <f t="shared" si="27"/>
        <v>5438</v>
      </c>
      <c r="G394" s="5" t="s">
        <v>482</v>
      </c>
      <c r="H394" s="5" t="s">
        <v>2083</v>
      </c>
      <c r="I394" s="4" t="s">
        <v>14</v>
      </c>
    </row>
    <row r="395" spans="2:9" ht="17.100000000000001" customHeight="1" x14ac:dyDescent="0.3">
      <c r="B395" s="19"/>
      <c r="C395" s="17"/>
      <c r="D395" s="4">
        <v>391</v>
      </c>
      <c r="E395" s="4">
        <v>21564</v>
      </c>
      <c r="F395" s="4" t="str">
        <f t="shared" si="27"/>
        <v>543C</v>
      </c>
      <c r="G395" s="5" t="s">
        <v>483</v>
      </c>
      <c r="H395" s="5" t="s">
        <v>2084</v>
      </c>
      <c r="I395" s="4" t="s">
        <v>14</v>
      </c>
    </row>
    <row r="396" spans="2:9" ht="17.100000000000001" customHeight="1" x14ac:dyDescent="0.3">
      <c r="B396" s="19"/>
      <c r="C396" s="17"/>
      <c r="D396" s="4">
        <v>392</v>
      </c>
      <c r="E396" s="4">
        <v>21568</v>
      </c>
      <c r="F396" s="4" t="str">
        <f t="shared" si="27"/>
        <v>5440</v>
      </c>
      <c r="G396" s="5" t="s">
        <v>484</v>
      </c>
      <c r="H396" s="5" t="s">
        <v>2085</v>
      </c>
      <c r="I396" s="4" t="s">
        <v>15</v>
      </c>
    </row>
    <row r="397" spans="2:9" ht="17.100000000000001" customHeight="1" x14ac:dyDescent="0.3">
      <c r="B397" s="19"/>
      <c r="C397" s="17"/>
      <c r="D397" s="4">
        <v>393</v>
      </c>
      <c r="E397" s="4">
        <v>21572</v>
      </c>
      <c r="F397" s="4" t="str">
        <f t="shared" si="27"/>
        <v>5444</v>
      </c>
      <c r="G397" s="5" t="s">
        <v>485</v>
      </c>
      <c r="H397" s="5" t="s">
        <v>2086</v>
      </c>
      <c r="I397" s="4" t="s">
        <v>9</v>
      </c>
    </row>
    <row r="398" spans="2:9" ht="17.100000000000001" customHeight="1" x14ac:dyDescent="0.3">
      <c r="B398" s="19"/>
      <c r="C398" s="17"/>
      <c r="D398" s="4">
        <v>394</v>
      </c>
      <c r="E398" s="4">
        <v>21576</v>
      </c>
      <c r="F398" s="4" t="str">
        <f t="shared" si="27"/>
        <v>5448</v>
      </c>
      <c r="G398" s="5" t="s">
        <v>486</v>
      </c>
      <c r="H398" s="5" t="s">
        <v>2087</v>
      </c>
      <c r="I398" s="4" t="s">
        <v>9</v>
      </c>
    </row>
    <row r="399" spans="2:9" ht="17.100000000000001" customHeight="1" x14ac:dyDescent="0.3">
      <c r="B399" s="19"/>
      <c r="C399" s="17"/>
      <c r="D399" s="4">
        <v>395</v>
      </c>
      <c r="E399" s="4">
        <v>21580</v>
      </c>
      <c r="F399" s="4" t="str">
        <f t="shared" si="27"/>
        <v>544C</v>
      </c>
      <c r="G399" s="6" t="str">
        <f>"pUmem_Cmd_TBD_"&amp;F399</f>
        <v>pUmem_Cmd_TBD_544C</v>
      </c>
      <c r="H399" s="6"/>
      <c r="I399" s="7"/>
    </row>
    <row r="400" spans="2:9" ht="17.100000000000001" customHeight="1" x14ac:dyDescent="0.3">
      <c r="B400" s="19"/>
      <c r="C400" s="17"/>
      <c r="D400" s="4">
        <v>396</v>
      </c>
      <c r="E400" s="4">
        <v>21584</v>
      </c>
      <c r="F400" s="4" t="str">
        <f t="shared" si="27"/>
        <v>5450</v>
      </c>
      <c r="G400" s="6" t="str">
        <f t="shared" ref="G400:G402" si="28">"pUmem_Cmd_TBD_"&amp;F400</f>
        <v>pUmem_Cmd_TBD_5450</v>
      </c>
      <c r="H400" s="6"/>
      <c r="I400" s="7"/>
    </row>
    <row r="401" spans="2:9" ht="17.100000000000001" customHeight="1" x14ac:dyDescent="0.3">
      <c r="B401" s="19"/>
      <c r="C401" s="17"/>
      <c r="D401" s="4">
        <v>397</v>
      </c>
      <c r="E401" s="4">
        <v>21588</v>
      </c>
      <c r="F401" s="4" t="str">
        <f t="shared" si="27"/>
        <v>5454</v>
      </c>
      <c r="G401" s="6" t="str">
        <f t="shared" si="28"/>
        <v>pUmem_Cmd_TBD_5454</v>
      </c>
      <c r="H401" s="6"/>
      <c r="I401" s="7"/>
    </row>
    <row r="402" spans="2:9" ht="17.100000000000001" customHeight="1" x14ac:dyDescent="0.3">
      <c r="B402" s="19"/>
      <c r="C402" s="17"/>
      <c r="D402" s="4">
        <v>398</v>
      </c>
      <c r="E402" s="4">
        <v>21592</v>
      </c>
      <c r="F402" s="4" t="str">
        <f t="shared" si="27"/>
        <v>5458</v>
      </c>
      <c r="G402" s="6" t="str">
        <f t="shared" si="28"/>
        <v>pUmem_Cmd_TBD_5458</v>
      </c>
      <c r="H402" s="6"/>
      <c r="I402" s="7"/>
    </row>
    <row r="403" spans="2:9" ht="17.100000000000001" customHeight="1" x14ac:dyDescent="0.3">
      <c r="B403" s="19"/>
      <c r="C403" s="17"/>
      <c r="D403" s="4">
        <v>399</v>
      </c>
      <c r="E403" s="4">
        <v>21596</v>
      </c>
      <c r="F403" s="4" t="str">
        <f t="shared" si="27"/>
        <v>545C</v>
      </c>
      <c r="G403" s="6" t="str">
        <f>"pUmem_Cmd_TBD_"&amp;F403</f>
        <v>pUmem_Cmd_TBD_545C</v>
      </c>
      <c r="H403" s="6"/>
      <c r="I403" s="7"/>
    </row>
    <row r="404" spans="2:9" ht="17.100000000000001" customHeight="1" x14ac:dyDescent="0.3">
      <c r="B404" s="19"/>
      <c r="C404" s="17" t="s">
        <v>295</v>
      </c>
      <c r="D404" s="4">
        <v>400</v>
      </c>
      <c r="E404" s="4">
        <v>21600</v>
      </c>
      <c r="F404" s="4" t="str">
        <f t="shared" si="27"/>
        <v>5460</v>
      </c>
      <c r="G404" s="5" t="s">
        <v>487</v>
      </c>
      <c r="H404" s="5" t="s">
        <v>2073</v>
      </c>
      <c r="I404" s="4" t="s">
        <v>5</v>
      </c>
    </row>
    <row r="405" spans="2:9" ht="17.100000000000001" customHeight="1" x14ac:dyDescent="0.3">
      <c r="B405" s="19"/>
      <c r="C405" s="17"/>
      <c r="D405" s="4">
        <v>401</v>
      </c>
      <c r="E405" s="4">
        <v>21604</v>
      </c>
      <c r="F405" s="4" t="str">
        <f t="shared" si="27"/>
        <v>5464</v>
      </c>
      <c r="G405" s="5" t="s">
        <v>488</v>
      </c>
      <c r="H405" s="5" t="s">
        <v>2074</v>
      </c>
      <c r="I405" s="4" t="s">
        <v>5</v>
      </c>
    </row>
    <row r="406" spans="2:9" ht="17.100000000000001" customHeight="1" x14ac:dyDescent="0.3">
      <c r="B406" s="19"/>
      <c r="C406" s="17"/>
      <c r="D406" s="4">
        <v>402</v>
      </c>
      <c r="E406" s="4">
        <v>21608</v>
      </c>
      <c r="F406" s="4" t="str">
        <f t="shared" si="27"/>
        <v>5468</v>
      </c>
      <c r="G406" s="5" t="s">
        <v>489</v>
      </c>
      <c r="H406" s="5" t="s">
        <v>2075</v>
      </c>
      <c r="I406" s="4" t="s">
        <v>5</v>
      </c>
    </row>
    <row r="407" spans="2:9" ht="17.100000000000001" customHeight="1" x14ac:dyDescent="0.3">
      <c r="B407" s="19"/>
      <c r="C407" s="17"/>
      <c r="D407" s="4">
        <v>403</v>
      </c>
      <c r="E407" s="4">
        <v>21612</v>
      </c>
      <c r="F407" s="4" t="str">
        <f t="shared" si="27"/>
        <v>546C</v>
      </c>
      <c r="G407" s="5" t="s">
        <v>490</v>
      </c>
      <c r="H407" s="5" t="s">
        <v>2076</v>
      </c>
      <c r="I407" s="4" t="s">
        <v>5</v>
      </c>
    </row>
    <row r="408" spans="2:9" ht="17.100000000000001" customHeight="1" x14ac:dyDescent="0.3">
      <c r="B408" s="19"/>
      <c r="C408" s="17"/>
      <c r="D408" s="4">
        <v>404</v>
      </c>
      <c r="E408" s="4">
        <v>21616</v>
      </c>
      <c r="F408" s="4" t="str">
        <f t="shared" si="27"/>
        <v>5470</v>
      </c>
      <c r="G408" s="5" t="s">
        <v>491</v>
      </c>
      <c r="H408" s="5" t="s">
        <v>2077</v>
      </c>
      <c r="I408" s="4" t="s">
        <v>14</v>
      </c>
    </row>
    <row r="409" spans="2:9" ht="17.100000000000001" customHeight="1" x14ac:dyDescent="0.3">
      <c r="B409" s="19"/>
      <c r="C409" s="17"/>
      <c r="D409" s="4">
        <v>405</v>
      </c>
      <c r="E409" s="4">
        <v>21620</v>
      </c>
      <c r="F409" s="4" t="str">
        <f t="shared" si="27"/>
        <v>5474</v>
      </c>
      <c r="G409" s="5" t="s">
        <v>492</v>
      </c>
      <c r="H409" s="5" t="s">
        <v>2078</v>
      </c>
      <c r="I409" s="4" t="s">
        <v>5</v>
      </c>
    </row>
    <row r="410" spans="2:9" ht="17.100000000000001" customHeight="1" x14ac:dyDescent="0.3">
      <c r="B410" s="19"/>
      <c r="C410" s="17"/>
      <c r="D410" s="4">
        <v>406</v>
      </c>
      <c r="E410" s="4">
        <v>21624</v>
      </c>
      <c r="F410" s="4" t="str">
        <f t="shared" si="27"/>
        <v>5478</v>
      </c>
      <c r="G410" s="5" t="s">
        <v>493</v>
      </c>
      <c r="H410" s="5" t="s">
        <v>2079</v>
      </c>
      <c r="I410" s="4" t="s">
        <v>5</v>
      </c>
    </row>
    <row r="411" spans="2:9" ht="17.100000000000001" customHeight="1" x14ac:dyDescent="0.3">
      <c r="B411" s="19"/>
      <c r="C411" s="17"/>
      <c r="D411" s="4">
        <v>407</v>
      </c>
      <c r="E411" s="4">
        <v>21628</v>
      </c>
      <c r="F411" s="4" t="str">
        <f t="shared" si="27"/>
        <v>547C</v>
      </c>
      <c r="G411" s="5" t="s">
        <v>494</v>
      </c>
      <c r="H411" s="5" t="s">
        <v>2080</v>
      </c>
      <c r="I411" s="4" t="s">
        <v>5</v>
      </c>
    </row>
    <row r="412" spans="2:9" ht="17.100000000000001" customHeight="1" x14ac:dyDescent="0.3">
      <c r="B412" s="19"/>
      <c r="C412" s="17"/>
      <c r="D412" s="4">
        <v>408</v>
      </c>
      <c r="E412" s="4">
        <v>21632</v>
      </c>
      <c r="F412" s="4" t="str">
        <f t="shared" si="27"/>
        <v>5480</v>
      </c>
      <c r="G412" s="5" t="s">
        <v>495</v>
      </c>
      <c r="H412" s="5" t="s">
        <v>2081</v>
      </c>
      <c r="I412" s="4" t="s">
        <v>5</v>
      </c>
    </row>
    <row r="413" spans="2:9" ht="17.100000000000001" customHeight="1" x14ac:dyDescent="0.3">
      <c r="B413" s="19"/>
      <c r="C413" s="17"/>
      <c r="D413" s="4">
        <v>409</v>
      </c>
      <c r="E413" s="4">
        <v>21636</v>
      </c>
      <c r="F413" s="4" t="str">
        <f t="shared" si="27"/>
        <v>5484</v>
      </c>
      <c r="G413" s="5" t="s">
        <v>496</v>
      </c>
      <c r="H413" s="5" t="s">
        <v>2082</v>
      </c>
      <c r="I413" s="4" t="s">
        <v>5</v>
      </c>
    </row>
    <row r="414" spans="2:9" ht="17.100000000000001" customHeight="1" x14ac:dyDescent="0.3">
      <c r="B414" s="19"/>
      <c r="C414" s="17"/>
      <c r="D414" s="4">
        <v>410</v>
      </c>
      <c r="E414" s="4">
        <v>21640</v>
      </c>
      <c r="F414" s="4" t="str">
        <f t="shared" si="27"/>
        <v>5488</v>
      </c>
      <c r="G414" s="5" t="s">
        <v>497</v>
      </c>
      <c r="H414" s="5" t="s">
        <v>2083</v>
      </c>
      <c r="I414" s="4" t="s">
        <v>14</v>
      </c>
    </row>
    <row r="415" spans="2:9" ht="17.100000000000001" customHeight="1" x14ac:dyDescent="0.3">
      <c r="B415" s="19"/>
      <c r="C415" s="17"/>
      <c r="D415" s="4">
        <v>411</v>
      </c>
      <c r="E415" s="4">
        <v>21644</v>
      </c>
      <c r="F415" s="4" t="str">
        <f t="shared" si="27"/>
        <v>548C</v>
      </c>
      <c r="G415" s="5" t="s">
        <v>498</v>
      </c>
      <c r="H415" s="5" t="s">
        <v>2084</v>
      </c>
      <c r="I415" s="4" t="s">
        <v>14</v>
      </c>
    </row>
    <row r="416" spans="2:9" ht="17.100000000000001" customHeight="1" x14ac:dyDescent="0.3">
      <c r="B416" s="19"/>
      <c r="C416" s="17"/>
      <c r="D416" s="4">
        <v>412</v>
      </c>
      <c r="E416" s="4">
        <v>21648</v>
      </c>
      <c r="F416" s="4" t="str">
        <f t="shared" si="27"/>
        <v>5490</v>
      </c>
      <c r="G416" s="5" t="s">
        <v>499</v>
      </c>
      <c r="H416" s="5" t="s">
        <v>2085</v>
      </c>
      <c r="I416" s="4" t="s">
        <v>15</v>
      </c>
    </row>
    <row r="417" spans="2:9" ht="17.100000000000001" customHeight="1" x14ac:dyDescent="0.3">
      <c r="B417" s="19"/>
      <c r="C417" s="17"/>
      <c r="D417" s="4">
        <v>413</v>
      </c>
      <c r="E417" s="4">
        <v>21652</v>
      </c>
      <c r="F417" s="4" t="str">
        <f t="shared" si="27"/>
        <v>5494</v>
      </c>
      <c r="G417" s="5" t="s">
        <v>500</v>
      </c>
      <c r="H417" s="5" t="s">
        <v>2086</v>
      </c>
      <c r="I417" s="4" t="s">
        <v>9</v>
      </c>
    </row>
    <row r="418" spans="2:9" ht="17.100000000000001" customHeight="1" x14ac:dyDescent="0.3">
      <c r="B418" s="19"/>
      <c r="C418" s="17"/>
      <c r="D418" s="4">
        <v>414</v>
      </c>
      <c r="E418" s="4">
        <v>21656</v>
      </c>
      <c r="F418" s="4" t="str">
        <f t="shared" si="27"/>
        <v>5498</v>
      </c>
      <c r="G418" s="5" t="s">
        <v>501</v>
      </c>
      <c r="H418" s="5" t="s">
        <v>2087</v>
      </c>
      <c r="I418" s="4" t="s">
        <v>9</v>
      </c>
    </row>
    <row r="419" spans="2:9" ht="17.100000000000001" customHeight="1" x14ac:dyDescent="0.3">
      <c r="B419" s="19"/>
      <c r="C419" s="17"/>
      <c r="D419" s="4">
        <v>415</v>
      </c>
      <c r="E419" s="4">
        <v>21660</v>
      </c>
      <c r="F419" s="4" t="str">
        <f t="shared" si="27"/>
        <v>549C</v>
      </c>
      <c r="G419" s="6" t="str">
        <f>"pUmem_Cmd_TBD_"&amp;F419</f>
        <v>pUmem_Cmd_TBD_549C</v>
      </c>
      <c r="H419" s="6"/>
      <c r="I419" s="7"/>
    </row>
    <row r="420" spans="2:9" ht="17.100000000000001" customHeight="1" x14ac:dyDescent="0.3">
      <c r="B420" s="19"/>
      <c r="C420" s="17"/>
      <c r="D420" s="4">
        <v>416</v>
      </c>
      <c r="E420" s="4">
        <v>21664</v>
      </c>
      <c r="F420" s="4" t="str">
        <f t="shared" si="27"/>
        <v>54A0</v>
      </c>
      <c r="G420" s="6" t="str">
        <f t="shared" ref="G420:G422" si="29">"pUmem_Cmd_TBD_"&amp;F420</f>
        <v>pUmem_Cmd_TBD_54A0</v>
      </c>
      <c r="H420" s="6"/>
      <c r="I420" s="7"/>
    </row>
    <row r="421" spans="2:9" ht="17.100000000000001" customHeight="1" x14ac:dyDescent="0.3">
      <c r="B421" s="19"/>
      <c r="C421" s="17"/>
      <c r="D421" s="4">
        <v>417</v>
      </c>
      <c r="E421" s="4">
        <v>21668</v>
      </c>
      <c r="F421" s="4" t="str">
        <f t="shared" si="27"/>
        <v>54A4</v>
      </c>
      <c r="G421" s="6" t="str">
        <f t="shared" si="29"/>
        <v>pUmem_Cmd_TBD_54A4</v>
      </c>
      <c r="H421" s="6"/>
      <c r="I421" s="7"/>
    </row>
    <row r="422" spans="2:9" ht="17.100000000000001" customHeight="1" x14ac:dyDescent="0.3">
      <c r="B422" s="19"/>
      <c r="C422" s="17"/>
      <c r="D422" s="4">
        <v>418</v>
      </c>
      <c r="E422" s="4">
        <v>21672</v>
      </c>
      <c r="F422" s="4" t="str">
        <f t="shared" si="27"/>
        <v>54A8</v>
      </c>
      <c r="G422" s="6" t="str">
        <f t="shared" si="29"/>
        <v>pUmem_Cmd_TBD_54A8</v>
      </c>
      <c r="H422" s="6"/>
      <c r="I422" s="7"/>
    </row>
    <row r="423" spans="2:9" ht="17.100000000000001" customHeight="1" x14ac:dyDescent="0.3">
      <c r="B423" s="19"/>
      <c r="C423" s="17"/>
      <c r="D423" s="4">
        <v>419</v>
      </c>
      <c r="E423" s="4">
        <v>21676</v>
      </c>
      <c r="F423" s="4" t="str">
        <f t="shared" si="27"/>
        <v>54AC</v>
      </c>
      <c r="G423" s="6" t="str">
        <f>"pUmem_Cmd_TBD_"&amp;F423</f>
        <v>pUmem_Cmd_TBD_54AC</v>
      </c>
      <c r="H423" s="6"/>
      <c r="I423" s="7"/>
    </row>
    <row r="424" spans="2:9" ht="17.100000000000001" customHeight="1" x14ac:dyDescent="0.3">
      <c r="B424" s="19"/>
      <c r="C424" s="17" t="s">
        <v>296</v>
      </c>
      <c r="D424" s="4">
        <v>420</v>
      </c>
      <c r="E424" s="4">
        <v>21680</v>
      </c>
      <c r="F424" s="4" t="str">
        <f t="shared" si="27"/>
        <v>54B0</v>
      </c>
      <c r="G424" s="5" t="s">
        <v>502</v>
      </c>
      <c r="H424" s="5" t="s">
        <v>2073</v>
      </c>
      <c r="I424" s="4" t="s">
        <v>5</v>
      </c>
    </row>
    <row r="425" spans="2:9" ht="17.100000000000001" customHeight="1" x14ac:dyDescent="0.3">
      <c r="B425" s="19"/>
      <c r="C425" s="17"/>
      <c r="D425" s="4">
        <v>421</v>
      </c>
      <c r="E425" s="4">
        <v>21684</v>
      </c>
      <c r="F425" s="4" t="str">
        <f t="shared" si="27"/>
        <v>54B4</v>
      </c>
      <c r="G425" s="5" t="s">
        <v>503</v>
      </c>
      <c r="H425" s="5" t="s">
        <v>2074</v>
      </c>
      <c r="I425" s="4" t="s">
        <v>5</v>
      </c>
    </row>
    <row r="426" spans="2:9" ht="17.100000000000001" customHeight="1" x14ac:dyDescent="0.3">
      <c r="B426" s="19"/>
      <c r="C426" s="17"/>
      <c r="D426" s="4">
        <v>422</v>
      </c>
      <c r="E426" s="4">
        <v>21688</v>
      </c>
      <c r="F426" s="4" t="str">
        <f t="shared" si="27"/>
        <v>54B8</v>
      </c>
      <c r="G426" s="5" t="s">
        <v>504</v>
      </c>
      <c r="H426" s="5" t="s">
        <v>2075</v>
      </c>
      <c r="I426" s="4" t="s">
        <v>5</v>
      </c>
    </row>
    <row r="427" spans="2:9" ht="17.100000000000001" customHeight="1" x14ac:dyDescent="0.3">
      <c r="B427" s="19"/>
      <c r="C427" s="17"/>
      <c r="D427" s="4">
        <v>423</v>
      </c>
      <c r="E427" s="4">
        <v>21692</v>
      </c>
      <c r="F427" s="4" t="str">
        <f t="shared" si="27"/>
        <v>54BC</v>
      </c>
      <c r="G427" s="5" t="s">
        <v>505</v>
      </c>
      <c r="H427" s="5" t="s">
        <v>2076</v>
      </c>
      <c r="I427" s="4" t="s">
        <v>5</v>
      </c>
    </row>
    <row r="428" spans="2:9" ht="17.100000000000001" customHeight="1" x14ac:dyDescent="0.3">
      <c r="B428" s="19"/>
      <c r="C428" s="17"/>
      <c r="D428" s="4">
        <v>424</v>
      </c>
      <c r="E428" s="4">
        <v>21696</v>
      </c>
      <c r="F428" s="4" t="str">
        <f t="shared" si="27"/>
        <v>54C0</v>
      </c>
      <c r="G428" s="5" t="s">
        <v>506</v>
      </c>
      <c r="H428" s="5" t="s">
        <v>2077</v>
      </c>
      <c r="I428" s="4" t="s">
        <v>14</v>
      </c>
    </row>
    <row r="429" spans="2:9" ht="17.100000000000001" customHeight="1" x14ac:dyDescent="0.3">
      <c r="B429" s="19"/>
      <c r="C429" s="17"/>
      <c r="D429" s="4">
        <v>425</v>
      </c>
      <c r="E429" s="4">
        <v>21700</v>
      </c>
      <c r="F429" s="4" t="str">
        <f t="shared" si="27"/>
        <v>54C4</v>
      </c>
      <c r="G429" s="5" t="s">
        <v>507</v>
      </c>
      <c r="H429" s="5" t="s">
        <v>2078</v>
      </c>
      <c r="I429" s="4" t="s">
        <v>5</v>
      </c>
    </row>
    <row r="430" spans="2:9" ht="17.100000000000001" customHeight="1" x14ac:dyDescent="0.3">
      <c r="B430" s="19"/>
      <c r="C430" s="17"/>
      <c r="D430" s="4">
        <v>426</v>
      </c>
      <c r="E430" s="4">
        <v>21704</v>
      </c>
      <c r="F430" s="4" t="str">
        <f t="shared" si="27"/>
        <v>54C8</v>
      </c>
      <c r="G430" s="5" t="s">
        <v>508</v>
      </c>
      <c r="H430" s="5" t="s">
        <v>2079</v>
      </c>
      <c r="I430" s="4" t="s">
        <v>5</v>
      </c>
    </row>
    <row r="431" spans="2:9" ht="17.100000000000001" customHeight="1" x14ac:dyDescent="0.3">
      <c r="B431" s="19"/>
      <c r="C431" s="17"/>
      <c r="D431" s="4">
        <v>427</v>
      </c>
      <c r="E431" s="4">
        <v>21708</v>
      </c>
      <c r="F431" s="4" t="str">
        <f t="shared" si="27"/>
        <v>54CC</v>
      </c>
      <c r="G431" s="5" t="s">
        <v>509</v>
      </c>
      <c r="H431" s="5" t="s">
        <v>2080</v>
      </c>
      <c r="I431" s="4" t="s">
        <v>5</v>
      </c>
    </row>
    <row r="432" spans="2:9" ht="17.100000000000001" customHeight="1" x14ac:dyDescent="0.3">
      <c r="B432" s="19"/>
      <c r="C432" s="17"/>
      <c r="D432" s="4">
        <v>428</v>
      </c>
      <c r="E432" s="4">
        <v>21712</v>
      </c>
      <c r="F432" s="4" t="str">
        <f t="shared" si="27"/>
        <v>54D0</v>
      </c>
      <c r="G432" s="5" t="s">
        <v>510</v>
      </c>
      <c r="H432" s="5" t="s">
        <v>2081</v>
      </c>
      <c r="I432" s="4" t="s">
        <v>5</v>
      </c>
    </row>
    <row r="433" spans="2:9" ht="17.100000000000001" customHeight="1" x14ac:dyDescent="0.3">
      <c r="B433" s="19"/>
      <c r="C433" s="17"/>
      <c r="D433" s="4">
        <v>429</v>
      </c>
      <c r="E433" s="4">
        <v>21716</v>
      </c>
      <c r="F433" s="4" t="str">
        <f t="shared" si="27"/>
        <v>54D4</v>
      </c>
      <c r="G433" s="5" t="s">
        <v>511</v>
      </c>
      <c r="H433" s="5" t="s">
        <v>2082</v>
      </c>
      <c r="I433" s="4" t="s">
        <v>5</v>
      </c>
    </row>
    <row r="434" spans="2:9" ht="17.100000000000001" customHeight="1" x14ac:dyDescent="0.3">
      <c r="B434" s="19"/>
      <c r="C434" s="17"/>
      <c r="D434" s="4">
        <v>430</v>
      </c>
      <c r="E434" s="4">
        <v>21720</v>
      </c>
      <c r="F434" s="4" t="str">
        <f t="shared" si="27"/>
        <v>54D8</v>
      </c>
      <c r="G434" s="5" t="s">
        <v>512</v>
      </c>
      <c r="H434" s="5" t="s">
        <v>2083</v>
      </c>
      <c r="I434" s="4" t="s">
        <v>14</v>
      </c>
    </row>
    <row r="435" spans="2:9" ht="17.100000000000001" customHeight="1" x14ac:dyDescent="0.3">
      <c r="B435" s="19"/>
      <c r="C435" s="17"/>
      <c r="D435" s="4">
        <v>431</v>
      </c>
      <c r="E435" s="4">
        <v>21724</v>
      </c>
      <c r="F435" s="4" t="str">
        <f t="shared" si="27"/>
        <v>54DC</v>
      </c>
      <c r="G435" s="5" t="s">
        <v>513</v>
      </c>
      <c r="H435" s="5" t="s">
        <v>2084</v>
      </c>
      <c r="I435" s="4" t="s">
        <v>14</v>
      </c>
    </row>
    <row r="436" spans="2:9" ht="17.100000000000001" customHeight="1" x14ac:dyDescent="0.3">
      <c r="B436" s="19"/>
      <c r="C436" s="17"/>
      <c r="D436" s="4">
        <v>432</v>
      </c>
      <c r="E436" s="4">
        <v>21728</v>
      </c>
      <c r="F436" s="4" t="str">
        <f t="shared" si="27"/>
        <v>54E0</v>
      </c>
      <c r="G436" s="5" t="s">
        <v>514</v>
      </c>
      <c r="H436" s="5" t="s">
        <v>2085</v>
      </c>
      <c r="I436" s="4" t="s">
        <v>15</v>
      </c>
    </row>
    <row r="437" spans="2:9" ht="17.100000000000001" customHeight="1" x14ac:dyDescent="0.3">
      <c r="B437" s="19"/>
      <c r="C437" s="17"/>
      <c r="D437" s="4">
        <v>433</v>
      </c>
      <c r="E437" s="4">
        <v>21732</v>
      </c>
      <c r="F437" s="4" t="str">
        <f t="shared" si="27"/>
        <v>54E4</v>
      </c>
      <c r="G437" s="5" t="s">
        <v>515</v>
      </c>
      <c r="H437" s="5" t="s">
        <v>2086</v>
      </c>
      <c r="I437" s="4" t="s">
        <v>9</v>
      </c>
    </row>
    <row r="438" spans="2:9" ht="17.100000000000001" customHeight="1" x14ac:dyDescent="0.3">
      <c r="B438" s="19"/>
      <c r="C438" s="17"/>
      <c r="D438" s="4">
        <v>434</v>
      </c>
      <c r="E438" s="4">
        <v>21736</v>
      </c>
      <c r="F438" s="4" t="str">
        <f t="shared" si="27"/>
        <v>54E8</v>
      </c>
      <c r="G438" s="5" t="s">
        <v>516</v>
      </c>
      <c r="H438" s="5" t="s">
        <v>2087</v>
      </c>
      <c r="I438" s="4" t="s">
        <v>9</v>
      </c>
    </row>
    <row r="439" spans="2:9" ht="17.100000000000001" customHeight="1" x14ac:dyDescent="0.3">
      <c r="B439" s="19"/>
      <c r="C439" s="17"/>
      <c r="D439" s="4">
        <v>435</v>
      </c>
      <c r="E439" s="4">
        <v>21740</v>
      </c>
      <c r="F439" s="4" t="str">
        <f t="shared" si="27"/>
        <v>54EC</v>
      </c>
      <c r="G439" s="6" t="str">
        <f>"pUmem_Cmd_TBD_"&amp;F439</f>
        <v>pUmem_Cmd_TBD_54EC</v>
      </c>
      <c r="H439" s="6"/>
      <c r="I439" s="7"/>
    </row>
    <row r="440" spans="2:9" ht="17.100000000000001" customHeight="1" x14ac:dyDescent="0.3">
      <c r="B440" s="19"/>
      <c r="C440" s="17"/>
      <c r="D440" s="4">
        <v>436</v>
      </c>
      <c r="E440" s="4">
        <v>21744</v>
      </c>
      <c r="F440" s="4" t="str">
        <f t="shared" si="27"/>
        <v>54F0</v>
      </c>
      <c r="G440" s="6" t="str">
        <f t="shared" ref="G440:G442" si="30">"pUmem_Cmd_TBD_"&amp;F440</f>
        <v>pUmem_Cmd_TBD_54F0</v>
      </c>
      <c r="H440" s="6"/>
      <c r="I440" s="7"/>
    </row>
    <row r="441" spans="2:9" ht="17.100000000000001" customHeight="1" x14ac:dyDescent="0.3">
      <c r="B441" s="19"/>
      <c r="C441" s="17"/>
      <c r="D441" s="4">
        <v>437</v>
      </c>
      <c r="E441" s="4">
        <v>21748</v>
      </c>
      <c r="F441" s="4" t="str">
        <f t="shared" si="27"/>
        <v>54F4</v>
      </c>
      <c r="G441" s="6" t="str">
        <f t="shared" si="30"/>
        <v>pUmem_Cmd_TBD_54F4</v>
      </c>
      <c r="H441" s="6"/>
      <c r="I441" s="7"/>
    </row>
    <row r="442" spans="2:9" ht="17.100000000000001" customHeight="1" x14ac:dyDescent="0.3">
      <c r="B442" s="19"/>
      <c r="C442" s="17"/>
      <c r="D442" s="4">
        <v>438</v>
      </c>
      <c r="E442" s="4">
        <v>21752</v>
      </c>
      <c r="F442" s="4" t="str">
        <f t="shared" si="27"/>
        <v>54F8</v>
      </c>
      <c r="G442" s="6" t="str">
        <f t="shared" si="30"/>
        <v>pUmem_Cmd_TBD_54F8</v>
      </c>
      <c r="H442" s="6"/>
      <c r="I442" s="7"/>
    </row>
    <row r="443" spans="2:9" ht="17.100000000000001" customHeight="1" x14ac:dyDescent="0.3">
      <c r="B443" s="19"/>
      <c r="C443" s="17"/>
      <c r="D443" s="4">
        <v>439</v>
      </c>
      <c r="E443" s="4">
        <v>21756</v>
      </c>
      <c r="F443" s="4" t="str">
        <f t="shared" si="27"/>
        <v>54FC</v>
      </c>
      <c r="G443" s="6" t="str">
        <f>"pUmem_Cmd_TBD_"&amp;F443</f>
        <v>pUmem_Cmd_TBD_54FC</v>
      </c>
      <c r="H443" s="6"/>
      <c r="I443" s="7"/>
    </row>
    <row r="444" spans="2:9" ht="17.100000000000001" customHeight="1" x14ac:dyDescent="0.3">
      <c r="B444" s="19"/>
      <c r="C444" s="17" t="s">
        <v>297</v>
      </c>
      <c r="D444" s="4">
        <v>440</v>
      </c>
      <c r="E444" s="4">
        <v>21760</v>
      </c>
      <c r="F444" s="4" t="str">
        <f t="shared" si="27"/>
        <v>5500</v>
      </c>
      <c r="G444" s="5" t="s">
        <v>517</v>
      </c>
      <c r="H444" s="5" t="s">
        <v>2073</v>
      </c>
      <c r="I444" s="4" t="s">
        <v>5</v>
      </c>
    </row>
    <row r="445" spans="2:9" ht="17.100000000000001" customHeight="1" x14ac:dyDescent="0.3">
      <c r="B445" s="19"/>
      <c r="C445" s="17"/>
      <c r="D445" s="4">
        <v>441</v>
      </c>
      <c r="E445" s="4">
        <v>21764</v>
      </c>
      <c r="F445" s="4" t="str">
        <f t="shared" si="27"/>
        <v>5504</v>
      </c>
      <c r="G445" s="5" t="s">
        <v>518</v>
      </c>
      <c r="H445" s="5" t="s">
        <v>2074</v>
      </c>
      <c r="I445" s="4" t="s">
        <v>5</v>
      </c>
    </row>
    <row r="446" spans="2:9" ht="17.100000000000001" customHeight="1" x14ac:dyDescent="0.3">
      <c r="B446" s="19"/>
      <c r="C446" s="17"/>
      <c r="D446" s="4">
        <v>442</v>
      </c>
      <c r="E446" s="4">
        <v>21768</v>
      </c>
      <c r="F446" s="4" t="str">
        <f t="shared" si="27"/>
        <v>5508</v>
      </c>
      <c r="G446" s="5" t="s">
        <v>519</v>
      </c>
      <c r="H446" s="5" t="s">
        <v>2075</v>
      </c>
      <c r="I446" s="4" t="s">
        <v>5</v>
      </c>
    </row>
    <row r="447" spans="2:9" ht="17.100000000000001" customHeight="1" x14ac:dyDescent="0.3">
      <c r="B447" s="19"/>
      <c r="C447" s="17"/>
      <c r="D447" s="4">
        <v>443</v>
      </c>
      <c r="E447" s="4">
        <v>21772</v>
      </c>
      <c r="F447" s="4" t="str">
        <f t="shared" si="27"/>
        <v>550C</v>
      </c>
      <c r="G447" s="5" t="s">
        <v>520</v>
      </c>
      <c r="H447" s="5" t="s">
        <v>2076</v>
      </c>
      <c r="I447" s="4" t="s">
        <v>5</v>
      </c>
    </row>
    <row r="448" spans="2:9" ht="17.100000000000001" customHeight="1" x14ac:dyDescent="0.3">
      <c r="B448" s="19"/>
      <c r="C448" s="17"/>
      <c r="D448" s="4">
        <v>444</v>
      </c>
      <c r="E448" s="4">
        <v>21776</v>
      </c>
      <c r="F448" s="4" t="str">
        <f t="shared" si="27"/>
        <v>5510</v>
      </c>
      <c r="G448" s="5" t="s">
        <v>521</v>
      </c>
      <c r="H448" s="5" t="s">
        <v>2077</v>
      </c>
      <c r="I448" s="4" t="s">
        <v>14</v>
      </c>
    </row>
    <row r="449" spans="2:9" ht="17.100000000000001" customHeight="1" x14ac:dyDescent="0.3">
      <c r="B449" s="19"/>
      <c r="C449" s="17"/>
      <c r="D449" s="4">
        <v>445</v>
      </c>
      <c r="E449" s="4">
        <v>21780</v>
      </c>
      <c r="F449" s="4" t="str">
        <f t="shared" si="27"/>
        <v>5514</v>
      </c>
      <c r="G449" s="5" t="s">
        <v>522</v>
      </c>
      <c r="H449" s="5" t="s">
        <v>2078</v>
      </c>
      <c r="I449" s="4" t="s">
        <v>5</v>
      </c>
    </row>
    <row r="450" spans="2:9" ht="17.100000000000001" customHeight="1" x14ac:dyDescent="0.3">
      <c r="B450" s="19"/>
      <c r="C450" s="17"/>
      <c r="D450" s="4">
        <v>446</v>
      </c>
      <c r="E450" s="4">
        <v>21784</v>
      </c>
      <c r="F450" s="4" t="str">
        <f t="shared" si="27"/>
        <v>5518</v>
      </c>
      <c r="G450" s="5" t="s">
        <v>523</v>
      </c>
      <c r="H450" s="5" t="s">
        <v>2079</v>
      </c>
      <c r="I450" s="4" t="s">
        <v>5</v>
      </c>
    </row>
    <row r="451" spans="2:9" ht="17.100000000000001" customHeight="1" x14ac:dyDescent="0.3">
      <c r="B451" s="19"/>
      <c r="C451" s="17"/>
      <c r="D451" s="4">
        <v>447</v>
      </c>
      <c r="E451" s="4">
        <v>21788</v>
      </c>
      <c r="F451" s="4" t="str">
        <f t="shared" si="27"/>
        <v>551C</v>
      </c>
      <c r="G451" s="5" t="s">
        <v>524</v>
      </c>
      <c r="H451" s="5" t="s">
        <v>2080</v>
      </c>
      <c r="I451" s="4" t="s">
        <v>5</v>
      </c>
    </row>
    <row r="452" spans="2:9" ht="17.100000000000001" customHeight="1" x14ac:dyDescent="0.3">
      <c r="B452" s="19"/>
      <c r="C452" s="17"/>
      <c r="D452" s="4">
        <v>448</v>
      </c>
      <c r="E452" s="4">
        <v>21792</v>
      </c>
      <c r="F452" s="4" t="str">
        <f t="shared" si="27"/>
        <v>5520</v>
      </c>
      <c r="G452" s="5" t="s">
        <v>525</v>
      </c>
      <c r="H452" s="5" t="s">
        <v>2081</v>
      </c>
      <c r="I452" s="4" t="s">
        <v>5</v>
      </c>
    </row>
    <row r="453" spans="2:9" ht="17.100000000000001" customHeight="1" x14ac:dyDescent="0.3">
      <c r="B453" s="19"/>
      <c r="C453" s="17"/>
      <c r="D453" s="4">
        <v>449</v>
      </c>
      <c r="E453" s="4">
        <v>21796</v>
      </c>
      <c r="F453" s="4" t="str">
        <f t="shared" si="27"/>
        <v>5524</v>
      </c>
      <c r="G453" s="5" t="s">
        <v>526</v>
      </c>
      <c r="H453" s="5" t="s">
        <v>2082</v>
      </c>
      <c r="I453" s="4" t="s">
        <v>5</v>
      </c>
    </row>
    <row r="454" spans="2:9" ht="17.100000000000001" customHeight="1" x14ac:dyDescent="0.3">
      <c r="B454" s="19"/>
      <c r="C454" s="17"/>
      <c r="D454" s="4">
        <v>450</v>
      </c>
      <c r="E454" s="4">
        <v>21800</v>
      </c>
      <c r="F454" s="4" t="str">
        <f t="shared" si="27"/>
        <v>5528</v>
      </c>
      <c r="G454" s="5" t="s">
        <v>527</v>
      </c>
      <c r="H454" s="5" t="s">
        <v>2083</v>
      </c>
      <c r="I454" s="4" t="s">
        <v>14</v>
      </c>
    </row>
    <row r="455" spans="2:9" ht="17.100000000000001" customHeight="1" x14ac:dyDescent="0.3">
      <c r="B455" s="19"/>
      <c r="C455" s="17"/>
      <c r="D455" s="4">
        <v>451</v>
      </c>
      <c r="E455" s="4">
        <v>21804</v>
      </c>
      <c r="F455" s="4" t="str">
        <f t="shared" si="27"/>
        <v>552C</v>
      </c>
      <c r="G455" s="5" t="s">
        <v>528</v>
      </c>
      <c r="H455" s="5" t="s">
        <v>2084</v>
      </c>
      <c r="I455" s="4" t="s">
        <v>14</v>
      </c>
    </row>
    <row r="456" spans="2:9" ht="17.100000000000001" customHeight="1" x14ac:dyDescent="0.3">
      <c r="B456" s="19"/>
      <c r="C456" s="17"/>
      <c r="D456" s="4">
        <v>452</v>
      </c>
      <c r="E456" s="4">
        <v>21808</v>
      </c>
      <c r="F456" s="4" t="str">
        <f t="shared" si="27"/>
        <v>5530</v>
      </c>
      <c r="G456" s="5" t="s">
        <v>529</v>
      </c>
      <c r="H456" s="5" t="s">
        <v>2085</v>
      </c>
      <c r="I456" s="4" t="s">
        <v>15</v>
      </c>
    </row>
    <row r="457" spans="2:9" ht="17.100000000000001" customHeight="1" x14ac:dyDescent="0.3">
      <c r="B457" s="19"/>
      <c r="C457" s="17"/>
      <c r="D457" s="4">
        <v>453</v>
      </c>
      <c r="E457" s="4">
        <v>21812</v>
      </c>
      <c r="F457" s="4" t="str">
        <f t="shared" ref="F457:F520" si="31">DEC2HEX(E457)</f>
        <v>5534</v>
      </c>
      <c r="G457" s="5" t="s">
        <v>530</v>
      </c>
      <c r="H457" s="5" t="s">
        <v>2086</v>
      </c>
      <c r="I457" s="4" t="s">
        <v>9</v>
      </c>
    </row>
    <row r="458" spans="2:9" ht="17.100000000000001" customHeight="1" x14ac:dyDescent="0.3">
      <c r="B458" s="19"/>
      <c r="C458" s="17"/>
      <c r="D458" s="4">
        <v>454</v>
      </c>
      <c r="E458" s="4">
        <v>21816</v>
      </c>
      <c r="F458" s="4" t="str">
        <f t="shared" si="31"/>
        <v>5538</v>
      </c>
      <c r="G458" s="5" t="s">
        <v>531</v>
      </c>
      <c r="H458" s="5" t="s">
        <v>2087</v>
      </c>
      <c r="I458" s="4" t="s">
        <v>9</v>
      </c>
    </row>
    <row r="459" spans="2:9" ht="17.100000000000001" customHeight="1" x14ac:dyDescent="0.3">
      <c r="B459" s="19"/>
      <c r="C459" s="17"/>
      <c r="D459" s="4">
        <v>455</v>
      </c>
      <c r="E459" s="4">
        <v>21820</v>
      </c>
      <c r="F459" s="4" t="str">
        <f t="shared" si="31"/>
        <v>553C</v>
      </c>
      <c r="G459" s="6" t="str">
        <f>"pUmem_Cmd_TBD_"&amp;F459</f>
        <v>pUmem_Cmd_TBD_553C</v>
      </c>
      <c r="H459" s="6"/>
      <c r="I459" s="7"/>
    </row>
    <row r="460" spans="2:9" ht="17.100000000000001" customHeight="1" x14ac:dyDescent="0.3">
      <c r="B460" s="19"/>
      <c r="C460" s="17"/>
      <c r="D460" s="4">
        <v>456</v>
      </c>
      <c r="E460" s="4">
        <v>21824</v>
      </c>
      <c r="F460" s="4" t="str">
        <f t="shared" si="31"/>
        <v>5540</v>
      </c>
      <c r="G460" s="6" t="str">
        <f t="shared" ref="G460:G462" si="32">"pUmem_Cmd_TBD_"&amp;F460</f>
        <v>pUmem_Cmd_TBD_5540</v>
      </c>
      <c r="H460" s="6"/>
      <c r="I460" s="7"/>
    </row>
    <row r="461" spans="2:9" ht="17.100000000000001" customHeight="1" x14ac:dyDescent="0.3">
      <c r="B461" s="19"/>
      <c r="C461" s="17"/>
      <c r="D461" s="4">
        <v>457</v>
      </c>
      <c r="E461" s="4">
        <v>21828</v>
      </c>
      <c r="F461" s="4" t="str">
        <f t="shared" si="31"/>
        <v>5544</v>
      </c>
      <c r="G461" s="6" t="str">
        <f t="shared" si="32"/>
        <v>pUmem_Cmd_TBD_5544</v>
      </c>
      <c r="H461" s="6"/>
      <c r="I461" s="7"/>
    </row>
    <row r="462" spans="2:9" ht="17.100000000000001" customHeight="1" x14ac:dyDescent="0.3">
      <c r="B462" s="19"/>
      <c r="C462" s="17"/>
      <c r="D462" s="4">
        <v>458</v>
      </c>
      <c r="E462" s="4">
        <v>21832</v>
      </c>
      <c r="F462" s="4" t="str">
        <f t="shared" si="31"/>
        <v>5548</v>
      </c>
      <c r="G462" s="6" t="str">
        <f t="shared" si="32"/>
        <v>pUmem_Cmd_TBD_5548</v>
      </c>
      <c r="H462" s="6"/>
      <c r="I462" s="7"/>
    </row>
    <row r="463" spans="2:9" ht="17.100000000000001" customHeight="1" x14ac:dyDescent="0.3">
      <c r="B463" s="19"/>
      <c r="C463" s="17"/>
      <c r="D463" s="4">
        <v>459</v>
      </c>
      <c r="E463" s="4">
        <v>21836</v>
      </c>
      <c r="F463" s="4" t="str">
        <f t="shared" si="31"/>
        <v>554C</v>
      </c>
      <c r="G463" s="6" t="str">
        <f>"pUmem_Cmd_TBD_"&amp;F463</f>
        <v>pUmem_Cmd_TBD_554C</v>
      </c>
      <c r="H463" s="6"/>
      <c r="I463" s="7"/>
    </row>
    <row r="464" spans="2:9" ht="17.100000000000001" customHeight="1" x14ac:dyDescent="0.3">
      <c r="B464" s="19"/>
      <c r="C464" s="17" t="s">
        <v>298</v>
      </c>
      <c r="D464" s="4">
        <v>460</v>
      </c>
      <c r="E464" s="4">
        <v>21840</v>
      </c>
      <c r="F464" s="4" t="str">
        <f t="shared" si="31"/>
        <v>5550</v>
      </c>
      <c r="G464" s="5" t="s">
        <v>532</v>
      </c>
      <c r="H464" s="5" t="s">
        <v>2073</v>
      </c>
      <c r="I464" s="4" t="s">
        <v>5</v>
      </c>
    </row>
    <row r="465" spans="2:9" ht="17.100000000000001" customHeight="1" x14ac:dyDescent="0.3">
      <c r="B465" s="19"/>
      <c r="C465" s="17"/>
      <c r="D465" s="4">
        <v>461</v>
      </c>
      <c r="E465" s="4">
        <v>21844</v>
      </c>
      <c r="F465" s="4" t="str">
        <f t="shared" si="31"/>
        <v>5554</v>
      </c>
      <c r="G465" s="5" t="s">
        <v>533</v>
      </c>
      <c r="H465" s="5" t="s">
        <v>2074</v>
      </c>
      <c r="I465" s="4" t="s">
        <v>5</v>
      </c>
    </row>
    <row r="466" spans="2:9" ht="17.100000000000001" customHeight="1" x14ac:dyDescent="0.3">
      <c r="B466" s="19"/>
      <c r="C466" s="17"/>
      <c r="D466" s="4">
        <v>462</v>
      </c>
      <c r="E466" s="4">
        <v>21848</v>
      </c>
      <c r="F466" s="4" t="str">
        <f t="shared" si="31"/>
        <v>5558</v>
      </c>
      <c r="G466" s="5" t="s">
        <v>534</v>
      </c>
      <c r="H466" s="5" t="s">
        <v>2075</v>
      </c>
      <c r="I466" s="4" t="s">
        <v>5</v>
      </c>
    </row>
    <row r="467" spans="2:9" ht="17.100000000000001" customHeight="1" x14ac:dyDescent="0.3">
      <c r="B467" s="19"/>
      <c r="C467" s="17"/>
      <c r="D467" s="4">
        <v>463</v>
      </c>
      <c r="E467" s="4">
        <v>21852</v>
      </c>
      <c r="F467" s="4" t="str">
        <f t="shared" si="31"/>
        <v>555C</v>
      </c>
      <c r="G467" s="5" t="s">
        <v>535</v>
      </c>
      <c r="H467" s="5" t="s">
        <v>2076</v>
      </c>
      <c r="I467" s="4" t="s">
        <v>5</v>
      </c>
    </row>
    <row r="468" spans="2:9" ht="17.100000000000001" customHeight="1" x14ac:dyDescent="0.3">
      <c r="B468" s="19"/>
      <c r="C468" s="17"/>
      <c r="D468" s="4">
        <v>464</v>
      </c>
      <c r="E468" s="4">
        <v>21856</v>
      </c>
      <c r="F468" s="4" t="str">
        <f t="shared" si="31"/>
        <v>5560</v>
      </c>
      <c r="G468" s="5" t="s">
        <v>536</v>
      </c>
      <c r="H468" s="5" t="s">
        <v>2077</v>
      </c>
      <c r="I468" s="4" t="s">
        <v>14</v>
      </c>
    </row>
    <row r="469" spans="2:9" ht="17.100000000000001" customHeight="1" x14ac:dyDescent="0.3">
      <c r="B469" s="19"/>
      <c r="C469" s="17"/>
      <c r="D469" s="4">
        <v>465</v>
      </c>
      <c r="E469" s="4">
        <v>21860</v>
      </c>
      <c r="F469" s="4" t="str">
        <f t="shared" si="31"/>
        <v>5564</v>
      </c>
      <c r="G469" s="5" t="s">
        <v>537</v>
      </c>
      <c r="H469" s="5" t="s">
        <v>2078</v>
      </c>
      <c r="I469" s="4" t="s">
        <v>5</v>
      </c>
    </row>
    <row r="470" spans="2:9" ht="17.100000000000001" customHeight="1" x14ac:dyDescent="0.3">
      <c r="B470" s="19"/>
      <c r="C470" s="17"/>
      <c r="D470" s="4">
        <v>466</v>
      </c>
      <c r="E470" s="4">
        <v>21864</v>
      </c>
      <c r="F470" s="4" t="str">
        <f t="shared" si="31"/>
        <v>5568</v>
      </c>
      <c r="G470" s="5" t="s">
        <v>538</v>
      </c>
      <c r="H470" s="5" t="s">
        <v>2079</v>
      </c>
      <c r="I470" s="4" t="s">
        <v>5</v>
      </c>
    </row>
    <row r="471" spans="2:9" ht="17.100000000000001" customHeight="1" x14ac:dyDescent="0.3">
      <c r="B471" s="19"/>
      <c r="C471" s="17"/>
      <c r="D471" s="4">
        <v>467</v>
      </c>
      <c r="E471" s="4">
        <v>21868</v>
      </c>
      <c r="F471" s="4" t="str">
        <f t="shared" si="31"/>
        <v>556C</v>
      </c>
      <c r="G471" s="5" t="s">
        <v>539</v>
      </c>
      <c r="H471" s="5" t="s">
        <v>2080</v>
      </c>
      <c r="I471" s="4" t="s">
        <v>5</v>
      </c>
    </row>
    <row r="472" spans="2:9" ht="17.100000000000001" customHeight="1" x14ac:dyDescent="0.3">
      <c r="B472" s="19"/>
      <c r="C472" s="17"/>
      <c r="D472" s="4">
        <v>468</v>
      </c>
      <c r="E472" s="4">
        <v>21872</v>
      </c>
      <c r="F472" s="4" t="str">
        <f t="shared" si="31"/>
        <v>5570</v>
      </c>
      <c r="G472" s="5" t="s">
        <v>540</v>
      </c>
      <c r="H472" s="5" t="s">
        <v>2081</v>
      </c>
      <c r="I472" s="4" t="s">
        <v>5</v>
      </c>
    </row>
    <row r="473" spans="2:9" ht="17.100000000000001" customHeight="1" x14ac:dyDescent="0.3">
      <c r="B473" s="19"/>
      <c r="C473" s="17"/>
      <c r="D473" s="4">
        <v>469</v>
      </c>
      <c r="E473" s="4">
        <v>21876</v>
      </c>
      <c r="F473" s="4" t="str">
        <f t="shared" si="31"/>
        <v>5574</v>
      </c>
      <c r="G473" s="5" t="s">
        <v>541</v>
      </c>
      <c r="H473" s="5" t="s">
        <v>2082</v>
      </c>
      <c r="I473" s="4" t="s">
        <v>5</v>
      </c>
    </row>
    <row r="474" spans="2:9" ht="17.100000000000001" customHeight="1" x14ac:dyDescent="0.3">
      <c r="B474" s="19"/>
      <c r="C474" s="17"/>
      <c r="D474" s="4">
        <v>470</v>
      </c>
      <c r="E474" s="4">
        <v>21880</v>
      </c>
      <c r="F474" s="4" t="str">
        <f t="shared" si="31"/>
        <v>5578</v>
      </c>
      <c r="G474" s="5" t="s">
        <v>542</v>
      </c>
      <c r="H474" s="5" t="s">
        <v>2083</v>
      </c>
      <c r="I474" s="4" t="s">
        <v>14</v>
      </c>
    </row>
    <row r="475" spans="2:9" ht="17.100000000000001" customHeight="1" x14ac:dyDescent="0.3">
      <c r="B475" s="19"/>
      <c r="C475" s="17"/>
      <c r="D475" s="4">
        <v>471</v>
      </c>
      <c r="E475" s="4">
        <v>21884</v>
      </c>
      <c r="F475" s="4" t="str">
        <f t="shared" si="31"/>
        <v>557C</v>
      </c>
      <c r="G475" s="5" t="s">
        <v>543</v>
      </c>
      <c r="H475" s="5" t="s">
        <v>2084</v>
      </c>
      <c r="I475" s="4" t="s">
        <v>14</v>
      </c>
    </row>
    <row r="476" spans="2:9" ht="17.100000000000001" customHeight="1" x14ac:dyDescent="0.3">
      <c r="B476" s="19"/>
      <c r="C476" s="17"/>
      <c r="D476" s="4">
        <v>472</v>
      </c>
      <c r="E476" s="4">
        <v>21888</v>
      </c>
      <c r="F476" s="4" t="str">
        <f t="shared" si="31"/>
        <v>5580</v>
      </c>
      <c r="G476" s="5" t="s">
        <v>544</v>
      </c>
      <c r="H476" s="5" t="s">
        <v>2085</v>
      </c>
      <c r="I476" s="4" t="s">
        <v>15</v>
      </c>
    </row>
    <row r="477" spans="2:9" ht="17.100000000000001" customHeight="1" x14ac:dyDescent="0.3">
      <c r="B477" s="19"/>
      <c r="C477" s="17"/>
      <c r="D477" s="4">
        <v>473</v>
      </c>
      <c r="E477" s="4">
        <v>21892</v>
      </c>
      <c r="F477" s="4" t="str">
        <f t="shared" si="31"/>
        <v>5584</v>
      </c>
      <c r="G477" s="5" t="s">
        <v>545</v>
      </c>
      <c r="H477" s="5" t="s">
        <v>2086</v>
      </c>
      <c r="I477" s="4" t="s">
        <v>9</v>
      </c>
    </row>
    <row r="478" spans="2:9" ht="17.100000000000001" customHeight="1" x14ac:dyDescent="0.3">
      <c r="B478" s="19"/>
      <c r="C478" s="17"/>
      <c r="D478" s="4">
        <v>474</v>
      </c>
      <c r="E478" s="4">
        <v>21896</v>
      </c>
      <c r="F478" s="4" t="str">
        <f t="shared" si="31"/>
        <v>5588</v>
      </c>
      <c r="G478" s="5" t="s">
        <v>546</v>
      </c>
      <c r="H478" s="5" t="s">
        <v>2087</v>
      </c>
      <c r="I478" s="4" t="s">
        <v>9</v>
      </c>
    </row>
    <row r="479" spans="2:9" ht="17.100000000000001" customHeight="1" x14ac:dyDescent="0.3">
      <c r="B479" s="19"/>
      <c r="C479" s="17"/>
      <c r="D479" s="4">
        <v>475</v>
      </c>
      <c r="E479" s="4">
        <v>21900</v>
      </c>
      <c r="F479" s="4" t="str">
        <f t="shared" si="31"/>
        <v>558C</v>
      </c>
      <c r="G479" s="6" t="str">
        <f>"pUmem_Cmd_TBD_"&amp;F479</f>
        <v>pUmem_Cmd_TBD_558C</v>
      </c>
      <c r="H479" s="6"/>
      <c r="I479" s="7"/>
    </row>
    <row r="480" spans="2:9" ht="17.100000000000001" customHeight="1" x14ac:dyDescent="0.3">
      <c r="B480" s="19"/>
      <c r="C480" s="17"/>
      <c r="D480" s="4">
        <v>476</v>
      </c>
      <c r="E480" s="4">
        <v>21904</v>
      </c>
      <c r="F480" s="4" t="str">
        <f t="shared" si="31"/>
        <v>5590</v>
      </c>
      <c r="G480" s="6" t="str">
        <f t="shared" ref="G480:G482" si="33">"pUmem_Cmd_TBD_"&amp;F480</f>
        <v>pUmem_Cmd_TBD_5590</v>
      </c>
      <c r="H480" s="6"/>
      <c r="I480" s="7"/>
    </row>
    <row r="481" spans="2:9" ht="17.100000000000001" customHeight="1" x14ac:dyDescent="0.3">
      <c r="B481" s="19"/>
      <c r="C481" s="17"/>
      <c r="D481" s="4">
        <v>477</v>
      </c>
      <c r="E481" s="4">
        <v>21908</v>
      </c>
      <c r="F481" s="4" t="str">
        <f t="shared" si="31"/>
        <v>5594</v>
      </c>
      <c r="G481" s="6" t="str">
        <f t="shared" si="33"/>
        <v>pUmem_Cmd_TBD_5594</v>
      </c>
      <c r="H481" s="6"/>
      <c r="I481" s="7"/>
    </row>
    <row r="482" spans="2:9" ht="17.100000000000001" customHeight="1" x14ac:dyDescent="0.3">
      <c r="B482" s="19"/>
      <c r="C482" s="17"/>
      <c r="D482" s="4">
        <v>478</v>
      </c>
      <c r="E482" s="4">
        <v>21912</v>
      </c>
      <c r="F482" s="4" t="str">
        <f t="shared" si="31"/>
        <v>5598</v>
      </c>
      <c r="G482" s="6" t="str">
        <f t="shared" si="33"/>
        <v>pUmem_Cmd_TBD_5598</v>
      </c>
      <c r="H482" s="6"/>
      <c r="I482" s="7"/>
    </row>
    <row r="483" spans="2:9" ht="17.100000000000001" customHeight="1" x14ac:dyDescent="0.3">
      <c r="B483" s="19"/>
      <c r="C483" s="17"/>
      <c r="D483" s="4">
        <v>479</v>
      </c>
      <c r="E483" s="4">
        <v>21916</v>
      </c>
      <c r="F483" s="4" t="str">
        <f t="shared" si="31"/>
        <v>559C</v>
      </c>
      <c r="G483" s="6" t="str">
        <f>"pUmem_Cmd_TBD_"&amp;F483</f>
        <v>pUmem_Cmd_TBD_559C</v>
      </c>
      <c r="H483" s="6"/>
      <c r="I483" s="7"/>
    </row>
    <row r="484" spans="2:9" ht="17.100000000000001" customHeight="1" x14ac:dyDescent="0.3">
      <c r="B484" s="19" t="s">
        <v>13</v>
      </c>
      <c r="C484" s="17" t="s">
        <v>299</v>
      </c>
      <c r="D484" s="4">
        <v>480</v>
      </c>
      <c r="E484" s="4">
        <v>21920</v>
      </c>
      <c r="F484" s="4" t="str">
        <f t="shared" si="31"/>
        <v>55A0</v>
      </c>
      <c r="G484" s="5" t="s">
        <v>547</v>
      </c>
      <c r="H484" s="5" t="s">
        <v>2073</v>
      </c>
      <c r="I484" s="4" t="s">
        <v>5</v>
      </c>
    </row>
    <row r="485" spans="2:9" ht="17.100000000000001" customHeight="1" x14ac:dyDescent="0.3">
      <c r="B485" s="19"/>
      <c r="C485" s="17"/>
      <c r="D485" s="4">
        <v>481</v>
      </c>
      <c r="E485" s="4">
        <v>21924</v>
      </c>
      <c r="F485" s="4" t="str">
        <f t="shared" si="31"/>
        <v>55A4</v>
      </c>
      <c r="G485" s="5" t="s">
        <v>548</v>
      </c>
      <c r="H485" s="5" t="s">
        <v>2074</v>
      </c>
      <c r="I485" s="4" t="s">
        <v>5</v>
      </c>
    </row>
    <row r="486" spans="2:9" ht="17.100000000000001" customHeight="1" x14ac:dyDescent="0.3">
      <c r="B486" s="19"/>
      <c r="C486" s="17"/>
      <c r="D486" s="4">
        <v>482</v>
      </c>
      <c r="E486" s="4">
        <v>21928</v>
      </c>
      <c r="F486" s="4" t="str">
        <f t="shared" si="31"/>
        <v>55A8</v>
      </c>
      <c r="G486" s="5" t="s">
        <v>549</v>
      </c>
      <c r="H486" s="5" t="s">
        <v>2075</v>
      </c>
      <c r="I486" s="4" t="s">
        <v>5</v>
      </c>
    </row>
    <row r="487" spans="2:9" ht="17.100000000000001" customHeight="1" x14ac:dyDescent="0.3">
      <c r="B487" s="19"/>
      <c r="C487" s="17"/>
      <c r="D487" s="4">
        <v>483</v>
      </c>
      <c r="E487" s="4">
        <v>21932</v>
      </c>
      <c r="F487" s="4" t="str">
        <f t="shared" si="31"/>
        <v>55AC</v>
      </c>
      <c r="G487" s="5" t="s">
        <v>550</v>
      </c>
      <c r="H487" s="5" t="s">
        <v>2076</v>
      </c>
      <c r="I487" s="4" t="s">
        <v>5</v>
      </c>
    </row>
    <row r="488" spans="2:9" ht="17.100000000000001" customHeight="1" x14ac:dyDescent="0.3">
      <c r="B488" s="19"/>
      <c r="C488" s="17"/>
      <c r="D488" s="4">
        <v>484</v>
      </c>
      <c r="E488" s="4">
        <v>21936</v>
      </c>
      <c r="F488" s="4" t="str">
        <f t="shared" si="31"/>
        <v>55B0</v>
      </c>
      <c r="G488" s="5" t="s">
        <v>551</v>
      </c>
      <c r="H488" s="5" t="s">
        <v>2077</v>
      </c>
      <c r="I488" s="4" t="s">
        <v>14</v>
      </c>
    </row>
    <row r="489" spans="2:9" ht="17.100000000000001" customHeight="1" x14ac:dyDescent="0.3">
      <c r="B489" s="19"/>
      <c r="C489" s="17"/>
      <c r="D489" s="4">
        <v>485</v>
      </c>
      <c r="E489" s="4">
        <v>21940</v>
      </c>
      <c r="F489" s="4" t="str">
        <f t="shared" si="31"/>
        <v>55B4</v>
      </c>
      <c r="G489" s="5" t="s">
        <v>552</v>
      </c>
      <c r="H489" s="5" t="s">
        <v>2078</v>
      </c>
      <c r="I489" s="4" t="s">
        <v>5</v>
      </c>
    </row>
    <row r="490" spans="2:9" ht="17.100000000000001" customHeight="1" x14ac:dyDescent="0.3">
      <c r="B490" s="19"/>
      <c r="C490" s="17"/>
      <c r="D490" s="4">
        <v>486</v>
      </c>
      <c r="E490" s="4">
        <v>21944</v>
      </c>
      <c r="F490" s="4" t="str">
        <f t="shared" si="31"/>
        <v>55B8</v>
      </c>
      <c r="G490" s="5" t="s">
        <v>553</v>
      </c>
      <c r="H490" s="5" t="s">
        <v>2079</v>
      </c>
      <c r="I490" s="4" t="s">
        <v>5</v>
      </c>
    </row>
    <row r="491" spans="2:9" ht="17.100000000000001" customHeight="1" x14ac:dyDescent="0.3">
      <c r="B491" s="19"/>
      <c r="C491" s="17"/>
      <c r="D491" s="4">
        <v>487</v>
      </c>
      <c r="E491" s="4">
        <v>21948</v>
      </c>
      <c r="F491" s="4" t="str">
        <f t="shared" si="31"/>
        <v>55BC</v>
      </c>
      <c r="G491" s="5" t="s">
        <v>554</v>
      </c>
      <c r="H491" s="5" t="s">
        <v>2080</v>
      </c>
      <c r="I491" s="4" t="s">
        <v>5</v>
      </c>
    </row>
    <row r="492" spans="2:9" ht="17.100000000000001" customHeight="1" x14ac:dyDescent="0.3">
      <c r="B492" s="19"/>
      <c r="C492" s="17"/>
      <c r="D492" s="4">
        <v>488</v>
      </c>
      <c r="E492" s="4">
        <v>21952</v>
      </c>
      <c r="F492" s="4" t="str">
        <f t="shared" si="31"/>
        <v>55C0</v>
      </c>
      <c r="G492" s="5" t="s">
        <v>555</v>
      </c>
      <c r="H492" s="5" t="s">
        <v>2081</v>
      </c>
      <c r="I492" s="4" t="s">
        <v>5</v>
      </c>
    </row>
    <row r="493" spans="2:9" ht="17.100000000000001" customHeight="1" x14ac:dyDescent="0.3">
      <c r="B493" s="19"/>
      <c r="C493" s="17"/>
      <c r="D493" s="4">
        <v>489</v>
      </c>
      <c r="E493" s="4">
        <v>21956</v>
      </c>
      <c r="F493" s="4" t="str">
        <f t="shared" si="31"/>
        <v>55C4</v>
      </c>
      <c r="G493" s="5" t="s">
        <v>556</v>
      </c>
      <c r="H493" s="5" t="s">
        <v>2082</v>
      </c>
      <c r="I493" s="4" t="s">
        <v>5</v>
      </c>
    </row>
    <row r="494" spans="2:9" ht="17.100000000000001" customHeight="1" x14ac:dyDescent="0.3">
      <c r="B494" s="19"/>
      <c r="C494" s="17"/>
      <c r="D494" s="4">
        <v>490</v>
      </c>
      <c r="E494" s="4">
        <v>21960</v>
      </c>
      <c r="F494" s="4" t="str">
        <f t="shared" si="31"/>
        <v>55C8</v>
      </c>
      <c r="G494" s="5" t="s">
        <v>557</v>
      </c>
      <c r="H494" s="5" t="s">
        <v>2083</v>
      </c>
      <c r="I494" s="4" t="s">
        <v>14</v>
      </c>
    </row>
    <row r="495" spans="2:9" ht="17.100000000000001" customHeight="1" x14ac:dyDescent="0.3">
      <c r="B495" s="19"/>
      <c r="C495" s="17"/>
      <c r="D495" s="4">
        <v>491</v>
      </c>
      <c r="E495" s="4">
        <v>21964</v>
      </c>
      <c r="F495" s="4" t="str">
        <f t="shared" si="31"/>
        <v>55CC</v>
      </c>
      <c r="G495" s="5" t="s">
        <v>558</v>
      </c>
      <c r="H495" s="5" t="s">
        <v>2084</v>
      </c>
      <c r="I495" s="4" t="s">
        <v>14</v>
      </c>
    </row>
    <row r="496" spans="2:9" ht="17.100000000000001" customHeight="1" x14ac:dyDescent="0.3">
      <c r="B496" s="19"/>
      <c r="C496" s="17"/>
      <c r="D496" s="4">
        <v>492</v>
      </c>
      <c r="E496" s="4">
        <v>21968</v>
      </c>
      <c r="F496" s="4" t="str">
        <f t="shared" si="31"/>
        <v>55D0</v>
      </c>
      <c r="G496" s="5" t="s">
        <v>559</v>
      </c>
      <c r="H496" s="5" t="s">
        <v>2085</v>
      </c>
      <c r="I496" s="4" t="s">
        <v>15</v>
      </c>
    </row>
    <row r="497" spans="2:9" ht="17.100000000000001" customHeight="1" x14ac:dyDescent="0.3">
      <c r="B497" s="19"/>
      <c r="C497" s="17"/>
      <c r="D497" s="4">
        <v>493</v>
      </c>
      <c r="E497" s="4">
        <v>21972</v>
      </c>
      <c r="F497" s="4" t="str">
        <f t="shared" si="31"/>
        <v>55D4</v>
      </c>
      <c r="G497" s="5" t="s">
        <v>560</v>
      </c>
      <c r="H497" s="5" t="s">
        <v>2086</v>
      </c>
      <c r="I497" s="4" t="s">
        <v>9</v>
      </c>
    </row>
    <row r="498" spans="2:9" ht="17.100000000000001" customHeight="1" x14ac:dyDescent="0.3">
      <c r="B498" s="19"/>
      <c r="C498" s="17"/>
      <c r="D498" s="4">
        <v>494</v>
      </c>
      <c r="E498" s="4">
        <v>21976</v>
      </c>
      <c r="F498" s="4" t="str">
        <f t="shared" si="31"/>
        <v>55D8</v>
      </c>
      <c r="G498" s="5" t="s">
        <v>561</v>
      </c>
      <c r="H498" s="5" t="s">
        <v>2087</v>
      </c>
      <c r="I498" s="4" t="s">
        <v>9</v>
      </c>
    </row>
    <row r="499" spans="2:9" ht="17.100000000000001" customHeight="1" x14ac:dyDescent="0.3">
      <c r="B499" s="19"/>
      <c r="C499" s="17"/>
      <c r="D499" s="4">
        <v>495</v>
      </c>
      <c r="E499" s="4">
        <v>21980</v>
      </c>
      <c r="F499" s="4" t="str">
        <f t="shared" si="31"/>
        <v>55DC</v>
      </c>
      <c r="G499" s="6" t="str">
        <f>"pUmem_Cmd_TBD_"&amp;F499</f>
        <v>pUmem_Cmd_TBD_55DC</v>
      </c>
      <c r="H499" s="6"/>
      <c r="I499" s="7"/>
    </row>
    <row r="500" spans="2:9" ht="17.100000000000001" customHeight="1" x14ac:dyDescent="0.3">
      <c r="B500" s="19"/>
      <c r="C500" s="17"/>
      <c r="D500" s="4">
        <v>496</v>
      </c>
      <c r="E500" s="4">
        <v>21984</v>
      </c>
      <c r="F500" s="4" t="str">
        <f t="shared" si="31"/>
        <v>55E0</v>
      </c>
      <c r="G500" s="6" t="str">
        <f t="shared" ref="G500:G502" si="34">"pUmem_Cmd_TBD_"&amp;F500</f>
        <v>pUmem_Cmd_TBD_55E0</v>
      </c>
      <c r="H500" s="6"/>
      <c r="I500" s="7"/>
    </row>
    <row r="501" spans="2:9" ht="17.100000000000001" customHeight="1" x14ac:dyDescent="0.3">
      <c r="B501" s="19"/>
      <c r="C501" s="17"/>
      <c r="D501" s="4">
        <v>497</v>
      </c>
      <c r="E501" s="4">
        <v>21988</v>
      </c>
      <c r="F501" s="4" t="str">
        <f t="shared" si="31"/>
        <v>55E4</v>
      </c>
      <c r="G501" s="6" t="str">
        <f t="shared" si="34"/>
        <v>pUmem_Cmd_TBD_55E4</v>
      </c>
      <c r="H501" s="6"/>
      <c r="I501" s="7"/>
    </row>
    <row r="502" spans="2:9" ht="17.100000000000001" customHeight="1" x14ac:dyDescent="0.3">
      <c r="B502" s="19"/>
      <c r="C502" s="17"/>
      <c r="D502" s="4">
        <v>498</v>
      </c>
      <c r="E502" s="4">
        <v>21992</v>
      </c>
      <c r="F502" s="4" t="str">
        <f t="shared" si="31"/>
        <v>55E8</v>
      </c>
      <c r="G502" s="6" t="str">
        <f t="shared" si="34"/>
        <v>pUmem_Cmd_TBD_55E8</v>
      </c>
      <c r="H502" s="6"/>
      <c r="I502" s="7"/>
    </row>
    <row r="503" spans="2:9" ht="17.100000000000001" customHeight="1" x14ac:dyDescent="0.3">
      <c r="B503" s="19"/>
      <c r="C503" s="17"/>
      <c r="D503" s="4">
        <v>499</v>
      </c>
      <c r="E503" s="4">
        <v>21996</v>
      </c>
      <c r="F503" s="4" t="str">
        <f t="shared" si="31"/>
        <v>55EC</v>
      </c>
      <c r="G503" s="6" t="str">
        <f>"pUmem_Cmd_TBD_"&amp;F503</f>
        <v>pUmem_Cmd_TBD_55EC</v>
      </c>
      <c r="H503" s="6"/>
      <c r="I503" s="7"/>
    </row>
    <row r="504" spans="2:9" ht="17.100000000000001" customHeight="1" x14ac:dyDescent="0.3">
      <c r="B504" s="19"/>
      <c r="C504" s="17" t="s">
        <v>300</v>
      </c>
      <c r="D504" s="4">
        <v>500</v>
      </c>
      <c r="E504" s="4">
        <v>22000</v>
      </c>
      <c r="F504" s="4" t="str">
        <f t="shared" si="31"/>
        <v>55F0</v>
      </c>
      <c r="G504" s="5" t="s">
        <v>562</v>
      </c>
      <c r="H504" s="5" t="s">
        <v>2073</v>
      </c>
      <c r="I504" s="4" t="s">
        <v>5</v>
      </c>
    </row>
    <row r="505" spans="2:9" ht="17.100000000000001" customHeight="1" x14ac:dyDescent="0.3">
      <c r="B505" s="19"/>
      <c r="C505" s="17"/>
      <c r="D505" s="4">
        <v>501</v>
      </c>
      <c r="E505" s="4">
        <v>22004</v>
      </c>
      <c r="F505" s="4" t="str">
        <f t="shared" si="31"/>
        <v>55F4</v>
      </c>
      <c r="G505" s="5" t="s">
        <v>563</v>
      </c>
      <c r="H505" s="5" t="s">
        <v>2074</v>
      </c>
      <c r="I505" s="4" t="s">
        <v>5</v>
      </c>
    </row>
    <row r="506" spans="2:9" ht="17.100000000000001" customHeight="1" x14ac:dyDescent="0.3">
      <c r="B506" s="19"/>
      <c r="C506" s="17"/>
      <c r="D506" s="4">
        <v>502</v>
      </c>
      <c r="E506" s="4">
        <v>22008</v>
      </c>
      <c r="F506" s="4" t="str">
        <f t="shared" si="31"/>
        <v>55F8</v>
      </c>
      <c r="G506" s="5" t="s">
        <v>564</v>
      </c>
      <c r="H506" s="5" t="s">
        <v>2075</v>
      </c>
      <c r="I506" s="4" t="s">
        <v>5</v>
      </c>
    </row>
    <row r="507" spans="2:9" ht="17.100000000000001" customHeight="1" x14ac:dyDescent="0.3">
      <c r="B507" s="19"/>
      <c r="C507" s="17"/>
      <c r="D507" s="4">
        <v>503</v>
      </c>
      <c r="E507" s="4">
        <v>22012</v>
      </c>
      <c r="F507" s="4" t="str">
        <f t="shared" si="31"/>
        <v>55FC</v>
      </c>
      <c r="G507" s="5" t="s">
        <v>565</v>
      </c>
      <c r="H507" s="5" t="s">
        <v>2076</v>
      </c>
      <c r="I507" s="4" t="s">
        <v>5</v>
      </c>
    </row>
    <row r="508" spans="2:9" ht="17.100000000000001" customHeight="1" x14ac:dyDescent="0.3">
      <c r="B508" s="19"/>
      <c r="C508" s="17"/>
      <c r="D508" s="4">
        <v>504</v>
      </c>
      <c r="E508" s="4">
        <v>22016</v>
      </c>
      <c r="F508" s="4" t="str">
        <f t="shared" si="31"/>
        <v>5600</v>
      </c>
      <c r="G508" s="5" t="s">
        <v>566</v>
      </c>
      <c r="H508" s="5" t="s">
        <v>2077</v>
      </c>
      <c r="I508" s="4" t="s">
        <v>14</v>
      </c>
    </row>
    <row r="509" spans="2:9" ht="17.100000000000001" customHeight="1" x14ac:dyDescent="0.3">
      <c r="B509" s="19"/>
      <c r="C509" s="17"/>
      <c r="D509" s="4">
        <v>505</v>
      </c>
      <c r="E509" s="4">
        <v>22020</v>
      </c>
      <c r="F509" s="4" t="str">
        <f t="shared" si="31"/>
        <v>5604</v>
      </c>
      <c r="G509" s="5" t="s">
        <v>567</v>
      </c>
      <c r="H509" s="5" t="s">
        <v>2078</v>
      </c>
      <c r="I509" s="4" t="s">
        <v>5</v>
      </c>
    </row>
    <row r="510" spans="2:9" ht="17.100000000000001" customHeight="1" x14ac:dyDescent="0.3">
      <c r="B510" s="19"/>
      <c r="C510" s="17"/>
      <c r="D510" s="4">
        <v>506</v>
      </c>
      <c r="E510" s="4">
        <v>22024</v>
      </c>
      <c r="F510" s="4" t="str">
        <f t="shared" si="31"/>
        <v>5608</v>
      </c>
      <c r="G510" s="5" t="s">
        <v>568</v>
      </c>
      <c r="H510" s="5" t="s">
        <v>2079</v>
      </c>
      <c r="I510" s="4" t="s">
        <v>5</v>
      </c>
    </row>
    <row r="511" spans="2:9" ht="17.100000000000001" customHeight="1" x14ac:dyDescent="0.3">
      <c r="B511" s="19"/>
      <c r="C511" s="17"/>
      <c r="D511" s="4">
        <v>507</v>
      </c>
      <c r="E511" s="4">
        <v>22028</v>
      </c>
      <c r="F511" s="4" t="str">
        <f t="shared" si="31"/>
        <v>560C</v>
      </c>
      <c r="G511" s="5" t="s">
        <v>569</v>
      </c>
      <c r="H511" s="5" t="s">
        <v>2080</v>
      </c>
      <c r="I511" s="4" t="s">
        <v>5</v>
      </c>
    </row>
    <row r="512" spans="2:9" ht="17.100000000000001" customHeight="1" x14ac:dyDescent="0.3">
      <c r="B512" s="19"/>
      <c r="C512" s="17"/>
      <c r="D512" s="4">
        <v>508</v>
      </c>
      <c r="E512" s="4">
        <v>22032</v>
      </c>
      <c r="F512" s="4" t="str">
        <f t="shared" si="31"/>
        <v>5610</v>
      </c>
      <c r="G512" s="5" t="s">
        <v>570</v>
      </c>
      <c r="H512" s="5" t="s">
        <v>2081</v>
      </c>
      <c r="I512" s="4" t="s">
        <v>5</v>
      </c>
    </row>
    <row r="513" spans="2:9" ht="17.100000000000001" customHeight="1" x14ac:dyDescent="0.3">
      <c r="B513" s="19"/>
      <c r="C513" s="17"/>
      <c r="D513" s="4">
        <v>509</v>
      </c>
      <c r="E513" s="4">
        <v>22036</v>
      </c>
      <c r="F513" s="4" t="str">
        <f t="shared" si="31"/>
        <v>5614</v>
      </c>
      <c r="G513" s="5" t="s">
        <v>571</v>
      </c>
      <c r="H513" s="5" t="s">
        <v>2082</v>
      </c>
      <c r="I513" s="4" t="s">
        <v>5</v>
      </c>
    </row>
    <row r="514" spans="2:9" ht="17.100000000000001" customHeight="1" x14ac:dyDescent="0.3">
      <c r="B514" s="19"/>
      <c r="C514" s="17"/>
      <c r="D514" s="4">
        <v>510</v>
      </c>
      <c r="E514" s="4">
        <v>22040</v>
      </c>
      <c r="F514" s="4" t="str">
        <f t="shared" si="31"/>
        <v>5618</v>
      </c>
      <c r="G514" s="5" t="s">
        <v>572</v>
      </c>
      <c r="H514" s="5" t="s">
        <v>2083</v>
      </c>
      <c r="I514" s="4" t="s">
        <v>14</v>
      </c>
    </row>
    <row r="515" spans="2:9" ht="17.100000000000001" customHeight="1" x14ac:dyDescent="0.3">
      <c r="B515" s="19"/>
      <c r="C515" s="17"/>
      <c r="D515" s="4">
        <v>511</v>
      </c>
      <c r="E515" s="4">
        <v>22044</v>
      </c>
      <c r="F515" s="4" t="str">
        <f t="shared" si="31"/>
        <v>561C</v>
      </c>
      <c r="G515" s="5" t="s">
        <v>573</v>
      </c>
      <c r="H515" s="5" t="s">
        <v>2084</v>
      </c>
      <c r="I515" s="4" t="s">
        <v>14</v>
      </c>
    </row>
    <row r="516" spans="2:9" ht="17.100000000000001" customHeight="1" x14ac:dyDescent="0.3">
      <c r="B516" s="19"/>
      <c r="C516" s="17"/>
      <c r="D516" s="4">
        <v>512</v>
      </c>
      <c r="E516" s="4">
        <v>22048</v>
      </c>
      <c r="F516" s="4" t="str">
        <f t="shared" si="31"/>
        <v>5620</v>
      </c>
      <c r="G516" s="5" t="s">
        <v>574</v>
      </c>
      <c r="H516" s="5" t="s">
        <v>2085</v>
      </c>
      <c r="I516" s="4" t="s">
        <v>15</v>
      </c>
    </row>
    <row r="517" spans="2:9" ht="17.100000000000001" customHeight="1" x14ac:dyDescent="0.3">
      <c r="B517" s="19"/>
      <c r="C517" s="17"/>
      <c r="D517" s="4">
        <v>513</v>
      </c>
      <c r="E517" s="4">
        <v>22052</v>
      </c>
      <c r="F517" s="4" t="str">
        <f t="shared" si="31"/>
        <v>5624</v>
      </c>
      <c r="G517" s="5" t="s">
        <v>575</v>
      </c>
      <c r="H517" s="5" t="s">
        <v>2086</v>
      </c>
      <c r="I517" s="4" t="s">
        <v>9</v>
      </c>
    </row>
    <row r="518" spans="2:9" ht="17.100000000000001" customHeight="1" x14ac:dyDescent="0.3">
      <c r="B518" s="19"/>
      <c r="C518" s="17"/>
      <c r="D518" s="4">
        <v>514</v>
      </c>
      <c r="E518" s="4">
        <v>22056</v>
      </c>
      <c r="F518" s="4" t="str">
        <f t="shared" si="31"/>
        <v>5628</v>
      </c>
      <c r="G518" s="5" t="s">
        <v>576</v>
      </c>
      <c r="H518" s="5" t="s">
        <v>2087</v>
      </c>
      <c r="I518" s="4" t="s">
        <v>9</v>
      </c>
    </row>
    <row r="519" spans="2:9" ht="17.100000000000001" customHeight="1" x14ac:dyDescent="0.3">
      <c r="B519" s="19"/>
      <c r="C519" s="17"/>
      <c r="D519" s="4">
        <v>515</v>
      </c>
      <c r="E519" s="4">
        <v>22060</v>
      </c>
      <c r="F519" s="4" t="str">
        <f t="shared" si="31"/>
        <v>562C</v>
      </c>
      <c r="G519" s="6" t="str">
        <f>"pUmem_Cmd_TBD_"&amp;F519</f>
        <v>pUmem_Cmd_TBD_562C</v>
      </c>
      <c r="H519" s="6"/>
      <c r="I519" s="7"/>
    </row>
    <row r="520" spans="2:9" ht="17.100000000000001" customHeight="1" x14ac:dyDescent="0.3">
      <c r="B520" s="19"/>
      <c r="C520" s="17"/>
      <c r="D520" s="4">
        <v>516</v>
      </c>
      <c r="E520" s="4">
        <v>22064</v>
      </c>
      <c r="F520" s="4" t="str">
        <f t="shared" si="31"/>
        <v>5630</v>
      </c>
      <c r="G520" s="6" t="str">
        <f t="shared" ref="G520:G522" si="35">"pUmem_Cmd_TBD_"&amp;F520</f>
        <v>pUmem_Cmd_TBD_5630</v>
      </c>
      <c r="H520" s="6"/>
      <c r="I520" s="7"/>
    </row>
    <row r="521" spans="2:9" ht="17.100000000000001" customHeight="1" x14ac:dyDescent="0.3">
      <c r="B521" s="19"/>
      <c r="C521" s="17"/>
      <c r="D521" s="4">
        <v>517</v>
      </c>
      <c r="E521" s="4">
        <v>22068</v>
      </c>
      <c r="F521" s="4" t="str">
        <f t="shared" ref="F521:F584" si="36">DEC2HEX(E521)</f>
        <v>5634</v>
      </c>
      <c r="G521" s="6" t="str">
        <f t="shared" si="35"/>
        <v>pUmem_Cmd_TBD_5634</v>
      </c>
      <c r="H521" s="6"/>
      <c r="I521" s="7"/>
    </row>
    <row r="522" spans="2:9" ht="17.100000000000001" customHeight="1" x14ac:dyDescent="0.3">
      <c r="B522" s="19"/>
      <c r="C522" s="17"/>
      <c r="D522" s="4">
        <v>518</v>
      </c>
      <c r="E522" s="4">
        <v>22072</v>
      </c>
      <c r="F522" s="4" t="str">
        <f t="shared" si="36"/>
        <v>5638</v>
      </c>
      <c r="G522" s="6" t="str">
        <f t="shared" si="35"/>
        <v>pUmem_Cmd_TBD_5638</v>
      </c>
      <c r="H522" s="6"/>
      <c r="I522" s="7"/>
    </row>
    <row r="523" spans="2:9" ht="17.100000000000001" customHeight="1" x14ac:dyDescent="0.3">
      <c r="B523" s="19"/>
      <c r="C523" s="17"/>
      <c r="D523" s="4">
        <v>519</v>
      </c>
      <c r="E523" s="4">
        <v>22076</v>
      </c>
      <c r="F523" s="4" t="str">
        <f t="shared" si="36"/>
        <v>563C</v>
      </c>
      <c r="G523" s="6" t="str">
        <f>"pUmem_Cmd_TBD_"&amp;F523</f>
        <v>pUmem_Cmd_TBD_563C</v>
      </c>
      <c r="H523" s="6"/>
      <c r="I523" s="7"/>
    </row>
    <row r="524" spans="2:9" ht="17.100000000000001" customHeight="1" x14ac:dyDescent="0.3">
      <c r="B524" s="19"/>
      <c r="C524" s="17" t="s">
        <v>301</v>
      </c>
      <c r="D524" s="4">
        <v>520</v>
      </c>
      <c r="E524" s="4">
        <v>22080</v>
      </c>
      <c r="F524" s="4" t="str">
        <f t="shared" si="36"/>
        <v>5640</v>
      </c>
      <c r="G524" s="5" t="s">
        <v>577</v>
      </c>
      <c r="H524" s="5" t="s">
        <v>2073</v>
      </c>
      <c r="I524" s="4" t="s">
        <v>5</v>
      </c>
    </row>
    <row r="525" spans="2:9" ht="17.100000000000001" customHeight="1" x14ac:dyDescent="0.3">
      <c r="B525" s="19"/>
      <c r="C525" s="17"/>
      <c r="D525" s="4">
        <v>521</v>
      </c>
      <c r="E525" s="4">
        <v>22084</v>
      </c>
      <c r="F525" s="4" t="str">
        <f t="shared" si="36"/>
        <v>5644</v>
      </c>
      <c r="G525" s="5" t="s">
        <v>578</v>
      </c>
      <c r="H525" s="5" t="s">
        <v>2074</v>
      </c>
      <c r="I525" s="4" t="s">
        <v>5</v>
      </c>
    </row>
    <row r="526" spans="2:9" ht="17.100000000000001" customHeight="1" x14ac:dyDescent="0.3">
      <c r="B526" s="19"/>
      <c r="C526" s="17"/>
      <c r="D526" s="4">
        <v>522</v>
      </c>
      <c r="E526" s="4">
        <v>22088</v>
      </c>
      <c r="F526" s="4" t="str">
        <f t="shared" si="36"/>
        <v>5648</v>
      </c>
      <c r="G526" s="5" t="s">
        <v>579</v>
      </c>
      <c r="H526" s="5" t="s">
        <v>2075</v>
      </c>
      <c r="I526" s="4" t="s">
        <v>5</v>
      </c>
    </row>
    <row r="527" spans="2:9" ht="17.100000000000001" customHeight="1" x14ac:dyDescent="0.3">
      <c r="B527" s="19"/>
      <c r="C527" s="17"/>
      <c r="D527" s="4">
        <v>523</v>
      </c>
      <c r="E527" s="4">
        <v>22092</v>
      </c>
      <c r="F527" s="4" t="str">
        <f t="shared" si="36"/>
        <v>564C</v>
      </c>
      <c r="G527" s="5" t="s">
        <v>580</v>
      </c>
      <c r="H527" s="5" t="s">
        <v>2076</v>
      </c>
      <c r="I527" s="4" t="s">
        <v>5</v>
      </c>
    </row>
    <row r="528" spans="2:9" ht="17.100000000000001" customHeight="1" x14ac:dyDescent="0.3">
      <c r="B528" s="19"/>
      <c r="C528" s="17"/>
      <c r="D528" s="4">
        <v>524</v>
      </c>
      <c r="E528" s="4">
        <v>22096</v>
      </c>
      <c r="F528" s="4" t="str">
        <f t="shared" si="36"/>
        <v>5650</v>
      </c>
      <c r="G528" s="5" t="s">
        <v>581</v>
      </c>
      <c r="H528" s="5" t="s">
        <v>2077</v>
      </c>
      <c r="I528" s="4" t="s">
        <v>14</v>
      </c>
    </row>
    <row r="529" spans="2:9" ht="17.100000000000001" customHeight="1" x14ac:dyDescent="0.3">
      <c r="B529" s="19"/>
      <c r="C529" s="17"/>
      <c r="D529" s="4">
        <v>525</v>
      </c>
      <c r="E529" s="4">
        <v>22100</v>
      </c>
      <c r="F529" s="4" t="str">
        <f t="shared" si="36"/>
        <v>5654</v>
      </c>
      <c r="G529" s="5" t="s">
        <v>582</v>
      </c>
      <c r="H529" s="5" t="s">
        <v>2078</v>
      </c>
      <c r="I529" s="4" t="s">
        <v>5</v>
      </c>
    </row>
    <row r="530" spans="2:9" ht="17.100000000000001" customHeight="1" x14ac:dyDescent="0.3">
      <c r="B530" s="19"/>
      <c r="C530" s="17"/>
      <c r="D530" s="4">
        <v>526</v>
      </c>
      <c r="E530" s="4">
        <v>22104</v>
      </c>
      <c r="F530" s="4" t="str">
        <f t="shared" si="36"/>
        <v>5658</v>
      </c>
      <c r="G530" s="5" t="s">
        <v>583</v>
      </c>
      <c r="H530" s="5" t="s">
        <v>2079</v>
      </c>
      <c r="I530" s="4" t="s">
        <v>5</v>
      </c>
    </row>
    <row r="531" spans="2:9" ht="17.100000000000001" customHeight="1" x14ac:dyDescent="0.3">
      <c r="B531" s="19"/>
      <c r="C531" s="17"/>
      <c r="D531" s="4">
        <v>527</v>
      </c>
      <c r="E531" s="4">
        <v>22108</v>
      </c>
      <c r="F531" s="4" t="str">
        <f t="shared" si="36"/>
        <v>565C</v>
      </c>
      <c r="G531" s="5" t="s">
        <v>584</v>
      </c>
      <c r="H531" s="5" t="s">
        <v>2080</v>
      </c>
      <c r="I531" s="4" t="s">
        <v>5</v>
      </c>
    </row>
    <row r="532" spans="2:9" ht="17.100000000000001" customHeight="1" x14ac:dyDescent="0.3">
      <c r="B532" s="19"/>
      <c r="C532" s="17"/>
      <c r="D532" s="4">
        <v>528</v>
      </c>
      <c r="E532" s="4">
        <v>22112</v>
      </c>
      <c r="F532" s="4" t="str">
        <f t="shared" si="36"/>
        <v>5660</v>
      </c>
      <c r="G532" s="5" t="s">
        <v>585</v>
      </c>
      <c r="H532" s="5" t="s">
        <v>2081</v>
      </c>
      <c r="I532" s="4" t="s">
        <v>5</v>
      </c>
    </row>
    <row r="533" spans="2:9" ht="17.100000000000001" customHeight="1" x14ac:dyDescent="0.3">
      <c r="B533" s="19"/>
      <c r="C533" s="17"/>
      <c r="D533" s="4">
        <v>529</v>
      </c>
      <c r="E533" s="4">
        <v>22116</v>
      </c>
      <c r="F533" s="4" t="str">
        <f t="shared" si="36"/>
        <v>5664</v>
      </c>
      <c r="G533" s="5" t="s">
        <v>586</v>
      </c>
      <c r="H533" s="5" t="s">
        <v>2082</v>
      </c>
      <c r="I533" s="4" t="s">
        <v>5</v>
      </c>
    </row>
    <row r="534" spans="2:9" ht="17.100000000000001" customHeight="1" x14ac:dyDescent="0.3">
      <c r="B534" s="19"/>
      <c r="C534" s="17"/>
      <c r="D534" s="4">
        <v>530</v>
      </c>
      <c r="E534" s="4">
        <v>22120</v>
      </c>
      <c r="F534" s="4" t="str">
        <f t="shared" si="36"/>
        <v>5668</v>
      </c>
      <c r="G534" s="5" t="s">
        <v>587</v>
      </c>
      <c r="H534" s="5" t="s">
        <v>2083</v>
      </c>
      <c r="I534" s="4" t="s">
        <v>14</v>
      </c>
    </row>
    <row r="535" spans="2:9" ht="17.100000000000001" customHeight="1" x14ac:dyDescent="0.3">
      <c r="B535" s="19"/>
      <c r="C535" s="17"/>
      <c r="D535" s="4">
        <v>531</v>
      </c>
      <c r="E535" s="4">
        <v>22124</v>
      </c>
      <c r="F535" s="4" t="str">
        <f t="shared" si="36"/>
        <v>566C</v>
      </c>
      <c r="G535" s="5" t="s">
        <v>588</v>
      </c>
      <c r="H535" s="5" t="s">
        <v>2084</v>
      </c>
      <c r="I535" s="4" t="s">
        <v>14</v>
      </c>
    </row>
    <row r="536" spans="2:9" ht="17.100000000000001" customHeight="1" x14ac:dyDescent="0.3">
      <c r="B536" s="19"/>
      <c r="C536" s="17"/>
      <c r="D536" s="4">
        <v>532</v>
      </c>
      <c r="E536" s="4">
        <v>22128</v>
      </c>
      <c r="F536" s="4" t="str">
        <f t="shared" si="36"/>
        <v>5670</v>
      </c>
      <c r="G536" s="5" t="s">
        <v>589</v>
      </c>
      <c r="H536" s="5" t="s">
        <v>2085</v>
      </c>
      <c r="I536" s="4" t="s">
        <v>15</v>
      </c>
    </row>
    <row r="537" spans="2:9" ht="17.100000000000001" customHeight="1" x14ac:dyDescent="0.3">
      <c r="B537" s="19"/>
      <c r="C537" s="17"/>
      <c r="D537" s="4">
        <v>533</v>
      </c>
      <c r="E537" s="4">
        <v>22132</v>
      </c>
      <c r="F537" s="4" t="str">
        <f t="shared" si="36"/>
        <v>5674</v>
      </c>
      <c r="G537" s="5" t="s">
        <v>590</v>
      </c>
      <c r="H537" s="5" t="s">
        <v>2086</v>
      </c>
      <c r="I537" s="4" t="s">
        <v>9</v>
      </c>
    </row>
    <row r="538" spans="2:9" ht="17.100000000000001" customHeight="1" x14ac:dyDescent="0.3">
      <c r="B538" s="19"/>
      <c r="C538" s="17"/>
      <c r="D538" s="4">
        <v>534</v>
      </c>
      <c r="E538" s="4">
        <v>22136</v>
      </c>
      <c r="F538" s="4" t="str">
        <f t="shared" si="36"/>
        <v>5678</v>
      </c>
      <c r="G538" s="5" t="s">
        <v>591</v>
      </c>
      <c r="H538" s="5" t="s">
        <v>2087</v>
      </c>
      <c r="I538" s="4" t="s">
        <v>9</v>
      </c>
    </row>
    <row r="539" spans="2:9" ht="17.100000000000001" customHeight="1" x14ac:dyDescent="0.3">
      <c r="B539" s="19"/>
      <c r="C539" s="17"/>
      <c r="D539" s="4">
        <v>535</v>
      </c>
      <c r="E539" s="4">
        <v>22140</v>
      </c>
      <c r="F539" s="4" t="str">
        <f t="shared" si="36"/>
        <v>567C</v>
      </c>
      <c r="G539" s="6" t="str">
        <f>"pUmem_Cmd_TBD_"&amp;F539</f>
        <v>pUmem_Cmd_TBD_567C</v>
      </c>
      <c r="H539" s="6"/>
      <c r="I539" s="7"/>
    </row>
    <row r="540" spans="2:9" ht="17.100000000000001" customHeight="1" x14ac:dyDescent="0.3">
      <c r="B540" s="19"/>
      <c r="C540" s="17"/>
      <c r="D540" s="4">
        <v>536</v>
      </c>
      <c r="E540" s="4">
        <v>22144</v>
      </c>
      <c r="F540" s="4" t="str">
        <f t="shared" si="36"/>
        <v>5680</v>
      </c>
      <c r="G540" s="6" t="str">
        <f t="shared" ref="G540:G542" si="37">"pUmem_Cmd_TBD_"&amp;F540</f>
        <v>pUmem_Cmd_TBD_5680</v>
      </c>
      <c r="H540" s="6"/>
      <c r="I540" s="7"/>
    </row>
    <row r="541" spans="2:9" ht="17.100000000000001" customHeight="1" x14ac:dyDescent="0.3">
      <c r="B541" s="19"/>
      <c r="C541" s="17"/>
      <c r="D541" s="4">
        <v>537</v>
      </c>
      <c r="E541" s="4">
        <v>22148</v>
      </c>
      <c r="F541" s="4" t="str">
        <f t="shared" si="36"/>
        <v>5684</v>
      </c>
      <c r="G541" s="6" t="str">
        <f t="shared" si="37"/>
        <v>pUmem_Cmd_TBD_5684</v>
      </c>
      <c r="H541" s="6"/>
      <c r="I541" s="7"/>
    </row>
    <row r="542" spans="2:9" ht="17.100000000000001" customHeight="1" x14ac:dyDescent="0.3">
      <c r="B542" s="19"/>
      <c r="C542" s="17"/>
      <c r="D542" s="4">
        <v>538</v>
      </c>
      <c r="E542" s="4">
        <v>22152</v>
      </c>
      <c r="F542" s="4" t="str">
        <f t="shared" si="36"/>
        <v>5688</v>
      </c>
      <c r="G542" s="6" t="str">
        <f t="shared" si="37"/>
        <v>pUmem_Cmd_TBD_5688</v>
      </c>
      <c r="H542" s="6"/>
      <c r="I542" s="7"/>
    </row>
    <row r="543" spans="2:9" ht="17.100000000000001" customHeight="1" x14ac:dyDescent="0.3">
      <c r="B543" s="19"/>
      <c r="C543" s="17"/>
      <c r="D543" s="4">
        <v>539</v>
      </c>
      <c r="E543" s="4">
        <v>22156</v>
      </c>
      <c r="F543" s="4" t="str">
        <f t="shared" si="36"/>
        <v>568C</v>
      </c>
      <c r="G543" s="6" t="str">
        <f>"pUmem_Cmd_TBD_"&amp;F543</f>
        <v>pUmem_Cmd_TBD_568C</v>
      </c>
      <c r="H543" s="6"/>
      <c r="I543" s="7"/>
    </row>
    <row r="544" spans="2:9" ht="17.100000000000001" customHeight="1" x14ac:dyDescent="0.3">
      <c r="B544" s="19"/>
      <c r="C544" s="17" t="s">
        <v>302</v>
      </c>
      <c r="D544" s="4">
        <v>540</v>
      </c>
      <c r="E544" s="4">
        <v>22160</v>
      </c>
      <c r="F544" s="4" t="str">
        <f t="shared" si="36"/>
        <v>5690</v>
      </c>
      <c r="G544" s="5" t="s">
        <v>592</v>
      </c>
      <c r="H544" s="5" t="s">
        <v>2073</v>
      </c>
      <c r="I544" s="4" t="s">
        <v>5</v>
      </c>
    </row>
    <row r="545" spans="2:9" ht="17.100000000000001" customHeight="1" x14ac:dyDescent="0.3">
      <c r="B545" s="19"/>
      <c r="C545" s="17"/>
      <c r="D545" s="4">
        <v>541</v>
      </c>
      <c r="E545" s="4">
        <v>22164</v>
      </c>
      <c r="F545" s="4" t="str">
        <f t="shared" si="36"/>
        <v>5694</v>
      </c>
      <c r="G545" s="5" t="s">
        <v>593</v>
      </c>
      <c r="H545" s="5" t="s">
        <v>2074</v>
      </c>
      <c r="I545" s="4" t="s">
        <v>5</v>
      </c>
    </row>
    <row r="546" spans="2:9" ht="17.100000000000001" customHeight="1" x14ac:dyDescent="0.3">
      <c r="B546" s="19"/>
      <c r="C546" s="17"/>
      <c r="D546" s="4">
        <v>542</v>
      </c>
      <c r="E546" s="4">
        <v>22168</v>
      </c>
      <c r="F546" s="4" t="str">
        <f t="shared" si="36"/>
        <v>5698</v>
      </c>
      <c r="G546" s="5" t="s">
        <v>594</v>
      </c>
      <c r="H546" s="5" t="s">
        <v>2075</v>
      </c>
      <c r="I546" s="4" t="s">
        <v>5</v>
      </c>
    </row>
    <row r="547" spans="2:9" ht="17.100000000000001" customHeight="1" x14ac:dyDescent="0.3">
      <c r="B547" s="19"/>
      <c r="C547" s="17"/>
      <c r="D547" s="4">
        <v>543</v>
      </c>
      <c r="E547" s="4">
        <v>22172</v>
      </c>
      <c r="F547" s="4" t="str">
        <f t="shared" si="36"/>
        <v>569C</v>
      </c>
      <c r="G547" s="5" t="s">
        <v>595</v>
      </c>
      <c r="H547" s="5" t="s">
        <v>2076</v>
      </c>
      <c r="I547" s="4" t="s">
        <v>5</v>
      </c>
    </row>
    <row r="548" spans="2:9" ht="17.100000000000001" customHeight="1" x14ac:dyDescent="0.3">
      <c r="B548" s="19"/>
      <c r="C548" s="17"/>
      <c r="D548" s="4">
        <v>544</v>
      </c>
      <c r="E548" s="4">
        <v>22176</v>
      </c>
      <c r="F548" s="4" t="str">
        <f t="shared" si="36"/>
        <v>56A0</v>
      </c>
      <c r="G548" s="5" t="s">
        <v>596</v>
      </c>
      <c r="H548" s="5" t="s">
        <v>2077</v>
      </c>
      <c r="I548" s="4" t="s">
        <v>14</v>
      </c>
    </row>
    <row r="549" spans="2:9" ht="17.100000000000001" customHeight="1" x14ac:dyDescent="0.3">
      <c r="B549" s="19"/>
      <c r="C549" s="17"/>
      <c r="D549" s="4">
        <v>545</v>
      </c>
      <c r="E549" s="4">
        <v>22180</v>
      </c>
      <c r="F549" s="4" t="str">
        <f t="shared" si="36"/>
        <v>56A4</v>
      </c>
      <c r="G549" s="5" t="s">
        <v>597</v>
      </c>
      <c r="H549" s="5" t="s">
        <v>2078</v>
      </c>
      <c r="I549" s="4" t="s">
        <v>5</v>
      </c>
    </row>
    <row r="550" spans="2:9" ht="17.100000000000001" customHeight="1" x14ac:dyDescent="0.3">
      <c r="B550" s="19"/>
      <c r="C550" s="17"/>
      <c r="D550" s="4">
        <v>546</v>
      </c>
      <c r="E550" s="4">
        <v>22184</v>
      </c>
      <c r="F550" s="4" t="str">
        <f t="shared" si="36"/>
        <v>56A8</v>
      </c>
      <c r="G550" s="5" t="s">
        <v>598</v>
      </c>
      <c r="H550" s="5" t="s">
        <v>2079</v>
      </c>
      <c r="I550" s="4" t="s">
        <v>5</v>
      </c>
    </row>
    <row r="551" spans="2:9" ht="17.100000000000001" customHeight="1" x14ac:dyDescent="0.3">
      <c r="B551" s="19"/>
      <c r="C551" s="17"/>
      <c r="D551" s="4">
        <v>547</v>
      </c>
      <c r="E551" s="4">
        <v>22188</v>
      </c>
      <c r="F551" s="4" t="str">
        <f t="shared" si="36"/>
        <v>56AC</v>
      </c>
      <c r="G551" s="5" t="s">
        <v>599</v>
      </c>
      <c r="H551" s="5" t="s">
        <v>2080</v>
      </c>
      <c r="I551" s="4" t="s">
        <v>5</v>
      </c>
    </row>
    <row r="552" spans="2:9" ht="17.100000000000001" customHeight="1" x14ac:dyDescent="0.3">
      <c r="B552" s="19"/>
      <c r="C552" s="17"/>
      <c r="D552" s="4">
        <v>548</v>
      </c>
      <c r="E552" s="4">
        <v>22192</v>
      </c>
      <c r="F552" s="4" t="str">
        <f t="shared" si="36"/>
        <v>56B0</v>
      </c>
      <c r="G552" s="5" t="s">
        <v>600</v>
      </c>
      <c r="H552" s="5" t="s">
        <v>2081</v>
      </c>
      <c r="I552" s="4" t="s">
        <v>5</v>
      </c>
    </row>
    <row r="553" spans="2:9" ht="17.100000000000001" customHeight="1" x14ac:dyDescent="0.3">
      <c r="B553" s="19"/>
      <c r="C553" s="17"/>
      <c r="D553" s="4">
        <v>549</v>
      </c>
      <c r="E553" s="4">
        <v>22196</v>
      </c>
      <c r="F553" s="4" t="str">
        <f t="shared" si="36"/>
        <v>56B4</v>
      </c>
      <c r="G553" s="5" t="s">
        <v>601</v>
      </c>
      <c r="H553" s="5" t="s">
        <v>2082</v>
      </c>
      <c r="I553" s="4" t="s">
        <v>5</v>
      </c>
    </row>
    <row r="554" spans="2:9" ht="17.100000000000001" customHeight="1" x14ac:dyDescent="0.3">
      <c r="B554" s="19"/>
      <c r="C554" s="17"/>
      <c r="D554" s="4">
        <v>550</v>
      </c>
      <c r="E554" s="4">
        <v>22200</v>
      </c>
      <c r="F554" s="4" t="str">
        <f t="shared" si="36"/>
        <v>56B8</v>
      </c>
      <c r="G554" s="5" t="s">
        <v>602</v>
      </c>
      <c r="H554" s="5" t="s">
        <v>2083</v>
      </c>
      <c r="I554" s="4" t="s">
        <v>14</v>
      </c>
    </row>
    <row r="555" spans="2:9" ht="17.100000000000001" customHeight="1" x14ac:dyDescent="0.3">
      <c r="B555" s="19"/>
      <c r="C555" s="17"/>
      <c r="D555" s="4">
        <v>551</v>
      </c>
      <c r="E555" s="4">
        <v>22204</v>
      </c>
      <c r="F555" s="4" t="str">
        <f t="shared" si="36"/>
        <v>56BC</v>
      </c>
      <c r="G555" s="5" t="s">
        <v>603</v>
      </c>
      <c r="H555" s="5" t="s">
        <v>2084</v>
      </c>
      <c r="I555" s="4" t="s">
        <v>14</v>
      </c>
    </row>
    <row r="556" spans="2:9" ht="17.100000000000001" customHeight="1" x14ac:dyDescent="0.3">
      <c r="B556" s="19"/>
      <c r="C556" s="17"/>
      <c r="D556" s="4">
        <v>552</v>
      </c>
      <c r="E556" s="4">
        <v>22208</v>
      </c>
      <c r="F556" s="4" t="str">
        <f t="shared" si="36"/>
        <v>56C0</v>
      </c>
      <c r="G556" s="5" t="s">
        <v>604</v>
      </c>
      <c r="H556" s="5" t="s">
        <v>2085</v>
      </c>
      <c r="I556" s="4" t="s">
        <v>15</v>
      </c>
    </row>
    <row r="557" spans="2:9" ht="17.100000000000001" customHeight="1" x14ac:dyDescent="0.3">
      <c r="B557" s="19"/>
      <c r="C557" s="17"/>
      <c r="D557" s="4">
        <v>553</v>
      </c>
      <c r="E557" s="4">
        <v>22212</v>
      </c>
      <c r="F557" s="4" t="str">
        <f t="shared" si="36"/>
        <v>56C4</v>
      </c>
      <c r="G557" s="5" t="s">
        <v>605</v>
      </c>
      <c r="H557" s="5" t="s">
        <v>2086</v>
      </c>
      <c r="I557" s="4" t="s">
        <v>9</v>
      </c>
    </row>
    <row r="558" spans="2:9" ht="17.100000000000001" customHeight="1" x14ac:dyDescent="0.3">
      <c r="B558" s="19"/>
      <c r="C558" s="17"/>
      <c r="D558" s="4">
        <v>554</v>
      </c>
      <c r="E558" s="4">
        <v>22216</v>
      </c>
      <c r="F558" s="4" t="str">
        <f t="shared" si="36"/>
        <v>56C8</v>
      </c>
      <c r="G558" s="5" t="s">
        <v>606</v>
      </c>
      <c r="H558" s="5" t="s">
        <v>2087</v>
      </c>
      <c r="I558" s="4" t="s">
        <v>9</v>
      </c>
    </row>
    <row r="559" spans="2:9" ht="17.100000000000001" customHeight="1" x14ac:dyDescent="0.3">
      <c r="B559" s="19"/>
      <c r="C559" s="17"/>
      <c r="D559" s="4">
        <v>555</v>
      </c>
      <c r="E559" s="4">
        <v>22220</v>
      </c>
      <c r="F559" s="4" t="str">
        <f t="shared" si="36"/>
        <v>56CC</v>
      </c>
      <c r="G559" s="6" t="str">
        <f>"pUmem_Cmd_TBD_"&amp;F559</f>
        <v>pUmem_Cmd_TBD_56CC</v>
      </c>
      <c r="H559" s="6"/>
      <c r="I559" s="7"/>
    </row>
    <row r="560" spans="2:9" ht="17.100000000000001" customHeight="1" x14ac:dyDescent="0.3">
      <c r="B560" s="19"/>
      <c r="C560" s="17"/>
      <c r="D560" s="4">
        <v>556</v>
      </c>
      <c r="E560" s="4">
        <v>22224</v>
      </c>
      <c r="F560" s="4" t="str">
        <f t="shared" si="36"/>
        <v>56D0</v>
      </c>
      <c r="G560" s="6" t="str">
        <f t="shared" ref="G560:G562" si="38">"pUmem_Cmd_TBD_"&amp;F560</f>
        <v>pUmem_Cmd_TBD_56D0</v>
      </c>
      <c r="H560" s="6"/>
      <c r="I560" s="7"/>
    </row>
    <row r="561" spans="2:9" ht="17.100000000000001" customHeight="1" x14ac:dyDescent="0.3">
      <c r="B561" s="19"/>
      <c r="C561" s="17"/>
      <c r="D561" s="4">
        <v>557</v>
      </c>
      <c r="E561" s="4">
        <v>22228</v>
      </c>
      <c r="F561" s="4" t="str">
        <f t="shared" si="36"/>
        <v>56D4</v>
      </c>
      <c r="G561" s="6" t="str">
        <f t="shared" si="38"/>
        <v>pUmem_Cmd_TBD_56D4</v>
      </c>
      <c r="H561" s="6"/>
      <c r="I561" s="7"/>
    </row>
    <row r="562" spans="2:9" ht="17.100000000000001" customHeight="1" x14ac:dyDescent="0.3">
      <c r="B562" s="19"/>
      <c r="C562" s="17"/>
      <c r="D562" s="4">
        <v>558</v>
      </c>
      <c r="E562" s="4">
        <v>22232</v>
      </c>
      <c r="F562" s="4" t="str">
        <f t="shared" si="36"/>
        <v>56D8</v>
      </c>
      <c r="G562" s="6" t="str">
        <f t="shared" si="38"/>
        <v>pUmem_Cmd_TBD_56D8</v>
      </c>
      <c r="H562" s="6"/>
      <c r="I562" s="7"/>
    </row>
    <row r="563" spans="2:9" ht="17.100000000000001" customHeight="1" x14ac:dyDescent="0.3">
      <c r="B563" s="19"/>
      <c r="C563" s="17"/>
      <c r="D563" s="4">
        <v>559</v>
      </c>
      <c r="E563" s="4">
        <v>22236</v>
      </c>
      <c r="F563" s="4" t="str">
        <f t="shared" si="36"/>
        <v>56DC</v>
      </c>
      <c r="G563" s="6" t="str">
        <f>"pUmem_Cmd_TBD_"&amp;F563</f>
        <v>pUmem_Cmd_TBD_56DC</v>
      </c>
      <c r="H563" s="6"/>
      <c r="I563" s="7"/>
    </row>
    <row r="564" spans="2:9" ht="17.100000000000001" customHeight="1" x14ac:dyDescent="0.3">
      <c r="B564" s="19"/>
      <c r="C564" s="17" t="s">
        <v>303</v>
      </c>
      <c r="D564" s="4">
        <v>560</v>
      </c>
      <c r="E564" s="4">
        <v>22240</v>
      </c>
      <c r="F564" s="4" t="str">
        <f t="shared" si="36"/>
        <v>56E0</v>
      </c>
      <c r="G564" s="5" t="s">
        <v>607</v>
      </c>
      <c r="H564" s="5" t="s">
        <v>2073</v>
      </c>
      <c r="I564" s="4" t="s">
        <v>5</v>
      </c>
    </row>
    <row r="565" spans="2:9" ht="17.100000000000001" customHeight="1" x14ac:dyDescent="0.3">
      <c r="B565" s="19"/>
      <c r="C565" s="17"/>
      <c r="D565" s="4">
        <v>561</v>
      </c>
      <c r="E565" s="4">
        <v>22244</v>
      </c>
      <c r="F565" s="4" t="str">
        <f t="shared" si="36"/>
        <v>56E4</v>
      </c>
      <c r="G565" s="5" t="s">
        <v>608</v>
      </c>
      <c r="H565" s="5" t="s">
        <v>2074</v>
      </c>
      <c r="I565" s="4" t="s">
        <v>5</v>
      </c>
    </row>
    <row r="566" spans="2:9" ht="17.100000000000001" customHeight="1" x14ac:dyDescent="0.3">
      <c r="B566" s="19"/>
      <c r="C566" s="17"/>
      <c r="D566" s="4">
        <v>562</v>
      </c>
      <c r="E566" s="4">
        <v>22248</v>
      </c>
      <c r="F566" s="4" t="str">
        <f t="shared" si="36"/>
        <v>56E8</v>
      </c>
      <c r="G566" s="5" t="s">
        <v>609</v>
      </c>
      <c r="H566" s="5" t="s">
        <v>2075</v>
      </c>
      <c r="I566" s="4" t="s">
        <v>5</v>
      </c>
    </row>
    <row r="567" spans="2:9" ht="17.100000000000001" customHeight="1" x14ac:dyDescent="0.3">
      <c r="B567" s="19"/>
      <c r="C567" s="17"/>
      <c r="D567" s="4">
        <v>563</v>
      </c>
      <c r="E567" s="4">
        <v>22252</v>
      </c>
      <c r="F567" s="4" t="str">
        <f t="shared" si="36"/>
        <v>56EC</v>
      </c>
      <c r="G567" s="5" t="s">
        <v>610</v>
      </c>
      <c r="H567" s="5" t="s">
        <v>2076</v>
      </c>
      <c r="I567" s="4" t="s">
        <v>5</v>
      </c>
    </row>
    <row r="568" spans="2:9" ht="17.100000000000001" customHeight="1" x14ac:dyDescent="0.3">
      <c r="B568" s="19"/>
      <c r="C568" s="17"/>
      <c r="D568" s="4">
        <v>564</v>
      </c>
      <c r="E568" s="4">
        <v>22256</v>
      </c>
      <c r="F568" s="4" t="str">
        <f t="shared" si="36"/>
        <v>56F0</v>
      </c>
      <c r="G568" s="5" t="s">
        <v>611</v>
      </c>
      <c r="H568" s="5" t="s">
        <v>2077</v>
      </c>
      <c r="I568" s="4" t="s">
        <v>14</v>
      </c>
    </row>
    <row r="569" spans="2:9" ht="17.100000000000001" customHeight="1" x14ac:dyDescent="0.3">
      <c r="B569" s="19"/>
      <c r="C569" s="17"/>
      <c r="D569" s="4">
        <v>565</v>
      </c>
      <c r="E569" s="4">
        <v>22260</v>
      </c>
      <c r="F569" s="4" t="str">
        <f t="shared" si="36"/>
        <v>56F4</v>
      </c>
      <c r="G569" s="5" t="s">
        <v>612</v>
      </c>
      <c r="H569" s="5" t="s">
        <v>2078</v>
      </c>
      <c r="I569" s="4" t="s">
        <v>5</v>
      </c>
    </row>
    <row r="570" spans="2:9" ht="17.100000000000001" customHeight="1" x14ac:dyDescent="0.3">
      <c r="B570" s="19"/>
      <c r="C570" s="17"/>
      <c r="D570" s="4">
        <v>566</v>
      </c>
      <c r="E570" s="4">
        <v>22264</v>
      </c>
      <c r="F570" s="4" t="str">
        <f t="shared" si="36"/>
        <v>56F8</v>
      </c>
      <c r="G570" s="5" t="s">
        <v>613</v>
      </c>
      <c r="H570" s="5" t="s">
        <v>2079</v>
      </c>
      <c r="I570" s="4" t="s">
        <v>5</v>
      </c>
    </row>
    <row r="571" spans="2:9" ht="17.100000000000001" customHeight="1" x14ac:dyDescent="0.3">
      <c r="B571" s="19"/>
      <c r="C571" s="17"/>
      <c r="D571" s="4">
        <v>567</v>
      </c>
      <c r="E571" s="4">
        <v>22268</v>
      </c>
      <c r="F571" s="4" t="str">
        <f t="shared" si="36"/>
        <v>56FC</v>
      </c>
      <c r="G571" s="5" t="s">
        <v>614</v>
      </c>
      <c r="H571" s="5" t="s">
        <v>2080</v>
      </c>
      <c r="I571" s="4" t="s">
        <v>5</v>
      </c>
    </row>
    <row r="572" spans="2:9" ht="17.100000000000001" customHeight="1" x14ac:dyDescent="0.3">
      <c r="B572" s="19"/>
      <c r="C572" s="17"/>
      <c r="D572" s="4">
        <v>568</v>
      </c>
      <c r="E572" s="4">
        <v>22272</v>
      </c>
      <c r="F572" s="4" t="str">
        <f t="shared" si="36"/>
        <v>5700</v>
      </c>
      <c r="G572" s="5" t="s">
        <v>615</v>
      </c>
      <c r="H572" s="5" t="s">
        <v>2081</v>
      </c>
      <c r="I572" s="4" t="s">
        <v>5</v>
      </c>
    </row>
    <row r="573" spans="2:9" ht="17.100000000000001" customHeight="1" x14ac:dyDescent="0.3">
      <c r="B573" s="19"/>
      <c r="C573" s="17"/>
      <c r="D573" s="4">
        <v>569</v>
      </c>
      <c r="E573" s="4">
        <v>22276</v>
      </c>
      <c r="F573" s="4" t="str">
        <f t="shared" si="36"/>
        <v>5704</v>
      </c>
      <c r="G573" s="5" t="s">
        <v>616</v>
      </c>
      <c r="H573" s="5" t="s">
        <v>2082</v>
      </c>
      <c r="I573" s="4" t="s">
        <v>5</v>
      </c>
    </row>
    <row r="574" spans="2:9" ht="17.100000000000001" customHeight="1" x14ac:dyDescent="0.3">
      <c r="B574" s="19"/>
      <c r="C574" s="17"/>
      <c r="D574" s="4">
        <v>570</v>
      </c>
      <c r="E574" s="4">
        <v>22280</v>
      </c>
      <c r="F574" s="4" t="str">
        <f t="shared" si="36"/>
        <v>5708</v>
      </c>
      <c r="G574" s="5" t="s">
        <v>617</v>
      </c>
      <c r="H574" s="5" t="s">
        <v>2083</v>
      </c>
      <c r="I574" s="4" t="s">
        <v>14</v>
      </c>
    </row>
    <row r="575" spans="2:9" ht="17.100000000000001" customHeight="1" x14ac:dyDescent="0.3">
      <c r="B575" s="19"/>
      <c r="C575" s="17"/>
      <c r="D575" s="4">
        <v>571</v>
      </c>
      <c r="E575" s="4">
        <v>22284</v>
      </c>
      <c r="F575" s="4" t="str">
        <f t="shared" si="36"/>
        <v>570C</v>
      </c>
      <c r="G575" s="5" t="s">
        <v>618</v>
      </c>
      <c r="H575" s="5" t="s">
        <v>2084</v>
      </c>
      <c r="I575" s="4" t="s">
        <v>14</v>
      </c>
    </row>
    <row r="576" spans="2:9" ht="17.100000000000001" customHeight="1" x14ac:dyDescent="0.3">
      <c r="B576" s="19"/>
      <c r="C576" s="17"/>
      <c r="D576" s="4">
        <v>572</v>
      </c>
      <c r="E576" s="4">
        <v>22288</v>
      </c>
      <c r="F576" s="4" t="str">
        <f t="shared" si="36"/>
        <v>5710</v>
      </c>
      <c r="G576" s="5" t="s">
        <v>619</v>
      </c>
      <c r="H576" s="5" t="s">
        <v>2085</v>
      </c>
      <c r="I576" s="4" t="s">
        <v>15</v>
      </c>
    </row>
    <row r="577" spans="2:9" ht="17.100000000000001" customHeight="1" x14ac:dyDescent="0.3">
      <c r="B577" s="19"/>
      <c r="C577" s="17"/>
      <c r="D577" s="4">
        <v>573</v>
      </c>
      <c r="E577" s="4">
        <v>22292</v>
      </c>
      <c r="F577" s="4" t="str">
        <f t="shared" si="36"/>
        <v>5714</v>
      </c>
      <c r="G577" s="5" t="s">
        <v>620</v>
      </c>
      <c r="H577" s="5" t="s">
        <v>2086</v>
      </c>
      <c r="I577" s="4" t="s">
        <v>9</v>
      </c>
    </row>
    <row r="578" spans="2:9" ht="17.100000000000001" customHeight="1" x14ac:dyDescent="0.3">
      <c r="B578" s="19"/>
      <c r="C578" s="17"/>
      <c r="D578" s="4">
        <v>574</v>
      </c>
      <c r="E578" s="4">
        <v>22296</v>
      </c>
      <c r="F578" s="4" t="str">
        <f t="shared" si="36"/>
        <v>5718</v>
      </c>
      <c r="G578" s="5" t="s">
        <v>621</v>
      </c>
      <c r="H578" s="5" t="s">
        <v>2087</v>
      </c>
      <c r="I578" s="4" t="s">
        <v>9</v>
      </c>
    </row>
    <row r="579" spans="2:9" ht="17.100000000000001" customHeight="1" x14ac:dyDescent="0.3">
      <c r="B579" s="19"/>
      <c r="C579" s="17"/>
      <c r="D579" s="4">
        <v>575</v>
      </c>
      <c r="E579" s="4">
        <v>22300</v>
      </c>
      <c r="F579" s="4" t="str">
        <f t="shared" si="36"/>
        <v>571C</v>
      </c>
      <c r="G579" s="6" t="str">
        <f>"pUmem_Cmd_TBD_"&amp;F579</f>
        <v>pUmem_Cmd_TBD_571C</v>
      </c>
      <c r="H579" s="6"/>
      <c r="I579" s="7"/>
    </row>
    <row r="580" spans="2:9" ht="17.100000000000001" customHeight="1" x14ac:dyDescent="0.3">
      <c r="B580" s="19"/>
      <c r="C580" s="17"/>
      <c r="D580" s="4">
        <v>576</v>
      </c>
      <c r="E580" s="4">
        <v>22304</v>
      </c>
      <c r="F580" s="4" t="str">
        <f t="shared" si="36"/>
        <v>5720</v>
      </c>
      <c r="G580" s="6" t="str">
        <f t="shared" ref="G580:G582" si="39">"pUmem_Cmd_TBD_"&amp;F580</f>
        <v>pUmem_Cmd_TBD_5720</v>
      </c>
      <c r="H580" s="6"/>
      <c r="I580" s="7"/>
    </row>
    <row r="581" spans="2:9" ht="17.100000000000001" customHeight="1" x14ac:dyDescent="0.3">
      <c r="B581" s="19"/>
      <c r="C581" s="17"/>
      <c r="D581" s="4">
        <v>577</v>
      </c>
      <c r="E581" s="4">
        <v>22308</v>
      </c>
      <c r="F581" s="4" t="str">
        <f t="shared" si="36"/>
        <v>5724</v>
      </c>
      <c r="G581" s="6" t="str">
        <f t="shared" si="39"/>
        <v>pUmem_Cmd_TBD_5724</v>
      </c>
      <c r="H581" s="6"/>
      <c r="I581" s="7"/>
    </row>
    <row r="582" spans="2:9" ht="17.100000000000001" customHeight="1" x14ac:dyDescent="0.3">
      <c r="B582" s="19"/>
      <c r="C582" s="17"/>
      <c r="D582" s="4">
        <v>578</v>
      </c>
      <c r="E582" s="4">
        <v>22312</v>
      </c>
      <c r="F582" s="4" t="str">
        <f t="shared" si="36"/>
        <v>5728</v>
      </c>
      <c r="G582" s="6" t="str">
        <f t="shared" si="39"/>
        <v>pUmem_Cmd_TBD_5728</v>
      </c>
      <c r="H582" s="6"/>
      <c r="I582" s="7"/>
    </row>
    <row r="583" spans="2:9" ht="17.100000000000001" customHeight="1" x14ac:dyDescent="0.3">
      <c r="B583" s="19"/>
      <c r="C583" s="17"/>
      <c r="D583" s="4">
        <v>579</v>
      </c>
      <c r="E583" s="4">
        <v>22316</v>
      </c>
      <c r="F583" s="4" t="str">
        <f t="shared" si="36"/>
        <v>572C</v>
      </c>
      <c r="G583" s="6" t="str">
        <f>"pUmem_Cmd_TBD_"&amp;F583</f>
        <v>pUmem_Cmd_TBD_572C</v>
      </c>
      <c r="H583" s="6"/>
      <c r="I583" s="7"/>
    </row>
    <row r="584" spans="2:9" ht="17.100000000000001" customHeight="1" x14ac:dyDescent="0.3">
      <c r="B584" s="19"/>
      <c r="C584" s="17" t="s">
        <v>304</v>
      </c>
      <c r="D584" s="4">
        <v>580</v>
      </c>
      <c r="E584" s="4">
        <v>22320</v>
      </c>
      <c r="F584" s="4" t="str">
        <f t="shared" si="36"/>
        <v>5730</v>
      </c>
      <c r="G584" s="5" t="s">
        <v>622</v>
      </c>
      <c r="H584" s="5" t="s">
        <v>2073</v>
      </c>
      <c r="I584" s="4" t="s">
        <v>5</v>
      </c>
    </row>
    <row r="585" spans="2:9" ht="17.100000000000001" customHeight="1" x14ac:dyDescent="0.3">
      <c r="B585" s="19"/>
      <c r="C585" s="17"/>
      <c r="D585" s="4">
        <v>581</v>
      </c>
      <c r="E585" s="4">
        <v>22324</v>
      </c>
      <c r="F585" s="4" t="str">
        <f t="shared" ref="F585:F643" si="40">DEC2HEX(E585)</f>
        <v>5734</v>
      </c>
      <c r="G585" s="5" t="s">
        <v>623</v>
      </c>
      <c r="H585" s="5" t="s">
        <v>2074</v>
      </c>
      <c r="I585" s="4" t="s">
        <v>5</v>
      </c>
    </row>
    <row r="586" spans="2:9" ht="17.100000000000001" customHeight="1" x14ac:dyDescent="0.3">
      <c r="B586" s="19"/>
      <c r="C586" s="17"/>
      <c r="D586" s="4">
        <v>582</v>
      </c>
      <c r="E586" s="4">
        <v>22328</v>
      </c>
      <c r="F586" s="4" t="str">
        <f t="shared" si="40"/>
        <v>5738</v>
      </c>
      <c r="G586" s="5" t="s">
        <v>624</v>
      </c>
      <c r="H586" s="5" t="s">
        <v>2075</v>
      </c>
      <c r="I586" s="4" t="s">
        <v>5</v>
      </c>
    </row>
    <row r="587" spans="2:9" ht="17.100000000000001" customHeight="1" x14ac:dyDescent="0.3">
      <c r="B587" s="19"/>
      <c r="C587" s="17"/>
      <c r="D587" s="4">
        <v>583</v>
      </c>
      <c r="E587" s="4">
        <v>22332</v>
      </c>
      <c r="F587" s="4" t="str">
        <f t="shared" si="40"/>
        <v>573C</v>
      </c>
      <c r="G587" s="5" t="s">
        <v>625</v>
      </c>
      <c r="H587" s="5" t="s">
        <v>2076</v>
      </c>
      <c r="I587" s="4" t="s">
        <v>5</v>
      </c>
    </row>
    <row r="588" spans="2:9" ht="17.100000000000001" customHeight="1" x14ac:dyDescent="0.3">
      <c r="B588" s="19"/>
      <c r="C588" s="17"/>
      <c r="D588" s="4">
        <v>584</v>
      </c>
      <c r="E588" s="4">
        <v>22336</v>
      </c>
      <c r="F588" s="4" t="str">
        <f t="shared" si="40"/>
        <v>5740</v>
      </c>
      <c r="G588" s="5" t="s">
        <v>626</v>
      </c>
      <c r="H588" s="5" t="s">
        <v>2077</v>
      </c>
      <c r="I588" s="4" t="s">
        <v>14</v>
      </c>
    </row>
    <row r="589" spans="2:9" ht="17.100000000000001" customHeight="1" x14ac:dyDescent="0.3">
      <c r="B589" s="19"/>
      <c r="C589" s="17"/>
      <c r="D589" s="4">
        <v>585</v>
      </c>
      <c r="E589" s="4">
        <v>22340</v>
      </c>
      <c r="F589" s="4" t="str">
        <f t="shared" si="40"/>
        <v>5744</v>
      </c>
      <c r="G589" s="5" t="s">
        <v>627</v>
      </c>
      <c r="H589" s="5" t="s">
        <v>2078</v>
      </c>
      <c r="I589" s="4" t="s">
        <v>5</v>
      </c>
    </row>
    <row r="590" spans="2:9" ht="17.100000000000001" customHeight="1" x14ac:dyDescent="0.3">
      <c r="B590" s="19"/>
      <c r="C590" s="17"/>
      <c r="D590" s="4">
        <v>586</v>
      </c>
      <c r="E590" s="4">
        <v>22344</v>
      </c>
      <c r="F590" s="4" t="str">
        <f t="shared" si="40"/>
        <v>5748</v>
      </c>
      <c r="G590" s="5" t="s">
        <v>628</v>
      </c>
      <c r="H590" s="5" t="s">
        <v>2079</v>
      </c>
      <c r="I590" s="4" t="s">
        <v>5</v>
      </c>
    </row>
    <row r="591" spans="2:9" ht="17.100000000000001" customHeight="1" x14ac:dyDescent="0.3">
      <c r="B591" s="19"/>
      <c r="C591" s="17"/>
      <c r="D591" s="4">
        <v>587</v>
      </c>
      <c r="E591" s="4">
        <v>22348</v>
      </c>
      <c r="F591" s="4" t="str">
        <f t="shared" si="40"/>
        <v>574C</v>
      </c>
      <c r="G591" s="5" t="s">
        <v>629</v>
      </c>
      <c r="H591" s="5" t="s">
        <v>2080</v>
      </c>
      <c r="I591" s="4" t="s">
        <v>5</v>
      </c>
    </row>
    <row r="592" spans="2:9" ht="17.100000000000001" customHeight="1" x14ac:dyDescent="0.3">
      <c r="B592" s="19"/>
      <c r="C592" s="17"/>
      <c r="D592" s="4">
        <v>588</v>
      </c>
      <c r="E592" s="4">
        <v>22352</v>
      </c>
      <c r="F592" s="4" t="str">
        <f t="shared" si="40"/>
        <v>5750</v>
      </c>
      <c r="G592" s="5" t="s">
        <v>630</v>
      </c>
      <c r="H592" s="5" t="s">
        <v>2081</v>
      </c>
      <c r="I592" s="4" t="s">
        <v>5</v>
      </c>
    </row>
    <row r="593" spans="2:9" ht="17.100000000000001" customHeight="1" x14ac:dyDescent="0.3">
      <c r="B593" s="19"/>
      <c r="C593" s="17"/>
      <c r="D593" s="4">
        <v>589</v>
      </c>
      <c r="E593" s="4">
        <v>22356</v>
      </c>
      <c r="F593" s="4" t="str">
        <f t="shared" si="40"/>
        <v>5754</v>
      </c>
      <c r="G593" s="5" t="s">
        <v>631</v>
      </c>
      <c r="H593" s="5" t="s">
        <v>2082</v>
      </c>
      <c r="I593" s="4" t="s">
        <v>5</v>
      </c>
    </row>
    <row r="594" spans="2:9" ht="17.100000000000001" customHeight="1" x14ac:dyDescent="0.3">
      <c r="B594" s="19"/>
      <c r="C594" s="17"/>
      <c r="D594" s="4">
        <v>590</v>
      </c>
      <c r="E594" s="4">
        <v>22360</v>
      </c>
      <c r="F594" s="4" t="str">
        <f t="shared" si="40"/>
        <v>5758</v>
      </c>
      <c r="G594" s="5" t="s">
        <v>632</v>
      </c>
      <c r="H594" s="5" t="s">
        <v>2083</v>
      </c>
      <c r="I594" s="4" t="s">
        <v>14</v>
      </c>
    </row>
    <row r="595" spans="2:9" ht="17.100000000000001" customHeight="1" x14ac:dyDescent="0.3">
      <c r="B595" s="19"/>
      <c r="C595" s="17"/>
      <c r="D595" s="4">
        <v>591</v>
      </c>
      <c r="E595" s="4">
        <v>22364</v>
      </c>
      <c r="F595" s="4" t="str">
        <f t="shared" si="40"/>
        <v>575C</v>
      </c>
      <c r="G595" s="5" t="s">
        <v>633</v>
      </c>
      <c r="H595" s="5" t="s">
        <v>2084</v>
      </c>
      <c r="I595" s="4" t="s">
        <v>14</v>
      </c>
    </row>
    <row r="596" spans="2:9" ht="17.100000000000001" customHeight="1" x14ac:dyDescent="0.3">
      <c r="B596" s="19"/>
      <c r="C596" s="17"/>
      <c r="D596" s="4">
        <v>592</v>
      </c>
      <c r="E596" s="4">
        <v>22368</v>
      </c>
      <c r="F596" s="4" t="str">
        <f t="shared" si="40"/>
        <v>5760</v>
      </c>
      <c r="G596" s="5" t="s">
        <v>634</v>
      </c>
      <c r="H596" s="5" t="s">
        <v>2085</v>
      </c>
      <c r="I596" s="4" t="s">
        <v>15</v>
      </c>
    </row>
    <row r="597" spans="2:9" ht="17.100000000000001" customHeight="1" x14ac:dyDescent="0.3">
      <c r="B597" s="19"/>
      <c r="C597" s="17"/>
      <c r="D597" s="4">
        <v>593</v>
      </c>
      <c r="E597" s="4">
        <v>22372</v>
      </c>
      <c r="F597" s="4" t="str">
        <f t="shared" si="40"/>
        <v>5764</v>
      </c>
      <c r="G597" s="5" t="s">
        <v>635</v>
      </c>
      <c r="H597" s="5" t="s">
        <v>2086</v>
      </c>
      <c r="I597" s="4" t="s">
        <v>9</v>
      </c>
    </row>
    <row r="598" spans="2:9" ht="17.100000000000001" customHeight="1" x14ac:dyDescent="0.3">
      <c r="B598" s="19"/>
      <c r="C598" s="17"/>
      <c r="D598" s="4">
        <v>594</v>
      </c>
      <c r="E598" s="4">
        <v>22376</v>
      </c>
      <c r="F598" s="4" t="str">
        <f t="shared" si="40"/>
        <v>5768</v>
      </c>
      <c r="G598" s="5" t="s">
        <v>636</v>
      </c>
      <c r="H598" s="5" t="s">
        <v>2087</v>
      </c>
      <c r="I598" s="4" t="s">
        <v>9</v>
      </c>
    </row>
    <row r="599" spans="2:9" ht="17.100000000000001" customHeight="1" x14ac:dyDescent="0.3">
      <c r="B599" s="19"/>
      <c r="C599" s="17"/>
      <c r="D599" s="4">
        <v>595</v>
      </c>
      <c r="E599" s="4">
        <v>22380</v>
      </c>
      <c r="F599" s="4" t="str">
        <f t="shared" si="40"/>
        <v>576C</v>
      </c>
      <c r="G599" s="6" t="str">
        <f>"pUmem_Cmd_TBD_"&amp;F599</f>
        <v>pUmem_Cmd_TBD_576C</v>
      </c>
      <c r="H599" s="6"/>
      <c r="I599" s="7"/>
    </row>
    <row r="600" spans="2:9" ht="17.100000000000001" customHeight="1" x14ac:dyDescent="0.3">
      <c r="B600" s="19"/>
      <c r="C600" s="17"/>
      <c r="D600" s="4">
        <v>596</v>
      </c>
      <c r="E600" s="4">
        <v>22384</v>
      </c>
      <c r="F600" s="4" t="str">
        <f t="shared" si="40"/>
        <v>5770</v>
      </c>
      <c r="G600" s="6" t="str">
        <f t="shared" ref="G600:G602" si="41">"pUmem_Cmd_TBD_"&amp;F600</f>
        <v>pUmem_Cmd_TBD_5770</v>
      </c>
      <c r="H600" s="6"/>
      <c r="I600" s="7"/>
    </row>
    <row r="601" spans="2:9" ht="17.100000000000001" customHeight="1" x14ac:dyDescent="0.3">
      <c r="B601" s="19"/>
      <c r="C601" s="17"/>
      <c r="D601" s="4">
        <v>597</v>
      </c>
      <c r="E601" s="4">
        <v>22388</v>
      </c>
      <c r="F601" s="4" t="str">
        <f t="shared" si="40"/>
        <v>5774</v>
      </c>
      <c r="G601" s="6" t="str">
        <f t="shared" si="41"/>
        <v>pUmem_Cmd_TBD_5774</v>
      </c>
      <c r="H601" s="6"/>
      <c r="I601" s="7"/>
    </row>
    <row r="602" spans="2:9" ht="17.100000000000001" customHeight="1" x14ac:dyDescent="0.3">
      <c r="B602" s="19"/>
      <c r="C602" s="17"/>
      <c r="D602" s="4">
        <v>598</v>
      </c>
      <c r="E602" s="4">
        <v>22392</v>
      </c>
      <c r="F602" s="4" t="str">
        <f t="shared" si="40"/>
        <v>5778</v>
      </c>
      <c r="G602" s="6" t="str">
        <f t="shared" si="41"/>
        <v>pUmem_Cmd_TBD_5778</v>
      </c>
      <c r="H602" s="6"/>
      <c r="I602" s="7"/>
    </row>
    <row r="603" spans="2:9" ht="17.100000000000001" customHeight="1" x14ac:dyDescent="0.3">
      <c r="B603" s="19"/>
      <c r="C603" s="17"/>
      <c r="D603" s="4">
        <v>599</v>
      </c>
      <c r="E603" s="4">
        <v>22396</v>
      </c>
      <c r="F603" s="4" t="str">
        <f t="shared" si="40"/>
        <v>577C</v>
      </c>
      <c r="G603" s="6" t="str">
        <f>"pUmem_Cmd_TBD_"&amp;F603</f>
        <v>pUmem_Cmd_TBD_577C</v>
      </c>
      <c r="H603" s="6"/>
      <c r="I603" s="7"/>
    </row>
    <row r="604" spans="2:9" ht="17.100000000000001" customHeight="1" x14ac:dyDescent="0.3">
      <c r="B604" s="19"/>
      <c r="C604" s="17" t="s">
        <v>305</v>
      </c>
      <c r="D604" s="4">
        <v>600</v>
      </c>
      <c r="E604" s="4">
        <v>22400</v>
      </c>
      <c r="F604" s="4" t="str">
        <f t="shared" si="40"/>
        <v>5780</v>
      </c>
      <c r="G604" s="5" t="s">
        <v>637</v>
      </c>
      <c r="H604" s="5" t="s">
        <v>2073</v>
      </c>
      <c r="I604" s="4" t="s">
        <v>5</v>
      </c>
    </row>
    <row r="605" spans="2:9" ht="17.100000000000001" customHeight="1" x14ac:dyDescent="0.3">
      <c r="B605" s="19"/>
      <c r="C605" s="17"/>
      <c r="D605" s="4">
        <v>601</v>
      </c>
      <c r="E605" s="4">
        <v>22404</v>
      </c>
      <c r="F605" s="4" t="str">
        <f t="shared" si="40"/>
        <v>5784</v>
      </c>
      <c r="G605" s="5" t="s">
        <v>638</v>
      </c>
      <c r="H605" s="5" t="s">
        <v>2074</v>
      </c>
      <c r="I605" s="4" t="s">
        <v>5</v>
      </c>
    </row>
    <row r="606" spans="2:9" ht="17.100000000000001" customHeight="1" x14ac:dyDescent="0.3">
      <c r="B606" s="19"/>
      <c r="C606" s="17"/>
      <c r="D606" s="4">
        <v>602</v>
      </c>
      <c r="E606" s="4">
        <v>22408</v>
      </c>
      <c r="F606" s="4" t="str">
        <f t="shared" si="40"/>
        <v>5788</v>
      </c>
      <c r="G606" s="5" t="s">
        <v>639</v>
      </c>
      <c r="H606" s="5" t="s">
        <v>2075</v>
      </c>
      <c r="I606" s="4" t="s">
        <v>5</v>
      </c>
    </row>
    <row r="607" spans="2:9" ht="17.100000000000001" customHeight="1" x14ac:dyDescent="0.3">
      <c r="B607" s="19"/>
      <c r="C607" s="17"/>
      <c r="D607" s="4">
        <v>603</v>
      </c>
      <c r="E607" s="4">
        <v>22412</v>
      </c>
      <c r="F607" s="4" t="str">
        <f t="shared" si="40"/>
        <v>578C</v>
      </c>
      <c r="G607" s="5" t="s">
        <v>640</v>
      </c>
      <c r="H607" s="5" t="s">
        <v>2076</v>
      </c>
      <c r="I607" s="4" t="s">
        <v>5</v>
      </c>
    </row>
    <row r="608" spans="2:9" ht="17.100000000000001" customHeight="1" x14ac:dyDescent="0.3">
      <c r="B608" s="19"/>
      <c r="C608" s="17"/>
      <c r="D608" s="4">
        <v>604</v>
      </c>
      <c r="E608" s="4">
        <v>22416</v>
      </c>
      <c r="F608" s="4" t="str">
        <f t="shared" si="40"/>
        <v>5790</v>
      </c>
      <c r="G608" s="5" t="s">
        <v>641</v>
      </c>
      <c r="H608" s="5" t="s">
        <v>2077</v>
      </c>
      <c r="I608" s="4" t="s">
        <v>14</v>
      </c>
    </row>
    <row r="609" spans="2:9" ht="17.100000000000001" customHeight="1" x14ac:dyDescent="0.3">
      <c r="B609" s="19"/>
      <c r="C609" s="17"/>
      <c r="D609" s="4">
        <v>605</v>
      </c>
      <c r="E609" s="4">
        <v>22420</v>
      </c>
      <c r="F609" s="4" t="str">
        <f t="shared" si="40"/>
        <v>5794</v>
      </c>
      <c r="G609" s="5" t="s">
        <v>642</v>
      </c>
      <c r="H609" s="5" t="s">
        <v>2078</v>
      </c>
      <c r="I609" s="4" t="s">
        <v>5</v>
      </c>
    </row>
    <row r="610" spans="2:9" ht="17.100000000000001" customHeight="1" x14ac:dyDescent="0.3">
      <c r="B610" s="19"/>
      <c r="C610" s="17"/>
      <c r="D610" s="4">
        <v>606</v>
      </c>
      <c r="E610" s="4">
        <v>22424</v>
      </c>
      <c r="F610" s="4" t="str">
        <f t="shared" si="40"/>
        <v>5798</v>
      </c>
      <c r="G610" s="5" t="s">
        <v>643</v>
      </c>
      <c r="H610" s="5" t="s">
        <v>2079</v>
      </c>
      <c r="I610" s="4" t="s">
        <v>5</v>
      </c>
    </row>
    <row r="611" spans="2:9" ht="17.100000000000001" customHeight="1" x14ac:dyDescent="0.3">
      <c r="B611" s="19"/>
      <c r="C611" s="17"/>
      <c r="D611" s="4">
        <v>607</v>
      </c>
      <c r="E611" s="4">
        <v>22428</v>
      </c>
      <c r="F611" s="4" t="str">
        <f t="shared" si="40"/>
        <v>579C</v>
      </c>
      <c r="G611" s="5" t="s">
        <v>644</v>
      </c>
      <c r="H611" s="5" t="s">
        <v>2080</v>
      </c>
      <c r="I611" s="4" t="s">
        <v>5</v>
      </c>
    </row>
    <row r="612" spans="2:9" ht="17.100000000000001" customHeight="1" x14ac:dyDescent="0.3">
      <c r="B612" s="19"/>
      <c r="C612" s="17"/>
      <c r="D612" s="4">
        <v>608</v>
      </c>
      <c r="E612" s="4">
        <v>22432</v>
      </c>
      <c r="F612" s="4" t="str">
        <f t="shared" si="40"/>
        <v>57A0</v>
      </c>
      <c r="G612" s="5" t="s">
        <v>645</v>
      </c>
      <c r="H612" s="5" t="s">
        <v>2081</v>
      </c>
      <c r="I612" s="4" t="s">
        <v>5</v>
      </c>
    </row>
    <row r="613" spans="2:9" ht="17.100000000000001" customHeight="1" x14ac:dyDescent="0.3">
      <c r="B613" s="19"/>
      <c r="C613" s="17"/>
      <c r="D613" s="4">
        <v>609</v>
      </c>
      <c r="E613" s="4">
        <v>22436</v>
      </c>
      <c r="F613" s="4" t="str">
        <f t="shared" si="40"/>
        <v>57A4</v>
      </c>
      <c r="G613" s="5" t="s">
        <v>646</v>
      </c>
      <c r="H613" s="5" t="s">
        <v>2082</v>
      </c>
      <c r="I613" s="4" t="s">
        <v>5</v>
      </c>
    </row>
    <row r="614" spans="2:9" ht="17.100000000000001" customHeight="1" x14ac:dyDescent="0.3">
      <c r="B614" s="19"/>
      <c r="C614" s="17"/>
      <c r="D614" s="4">
        <v>610</v>
      </c>
      <c r="E614" s="4">
        <v>22440</v>
      </c>
      <c r="F614" s="4" t="str">
        <f t="shared" si="40"/>
        <v>57A8</v>
      </c>
      <c r="G614" s="5" t="s">
        <v>647</v>
      </c>
      <c r="H614" s="5" t="s">
        <v>2083</v>
      </c>
      <c r="I614" s="4" t="s">
        <v>14</v>
      </c>
    </row>
    <row r="615" spans="2:9" ht="17.100000000000001" customHeight="1" x14ac:dyDescent="0.3">
      <c r="B615" s="19"/>
      <c r="C615" s="17"/>
      <c r="D615" s="4">
        <v>611</v>
      </c>
      <c r="E615" s="4">
        <v>22444</v>
      </c>
      <c r="F615" s="4" t="str">
        <f t="shared" si="40"/>
        <v>57AC</v>
      </c>
      <c r="G615" s="5" t="s">
        <v>648</v>
      </c>
      <c r="H615" s="5" t="s">
        <v>2084</v>
      </c>
      <c r="I615" s="4" t="s">
        <v>14</v>
      </c>
    </row>
    <row r="616" spans="2:9" ht="17.100000000000001" customHeight="1" x14ac:dyDescent="0.3">
      <c r="B616" s="19"/>
      <c r="C616" s="17"/>
      <c r="D616" s="4">
        <v>612</v>
      </c>
      <c r="E616" s="4">
        <v>22448</v>
      </c>
      <c r="F616" s="4" t="str">
        <f t="shared" si="40"/>
        <v>57B0</v>
      </c>
      <c r="G616" s="5" t="s">
        <v>649</v>
      </c>
      <c r="H616" s="5" t="s">
        <v>2085</v>
      </c>
      <c r="I616" s="4" t="s">
        <v>15</v>
      </c>
    </row>
    <row r="617" spans="2:9" ht="17.100000000000001" customHeight="1" x14ac:dyDescent="0.3">
      <c r="B617" s="19"/>
      <c r="C617" s="17"/>
      <c r="D617" s="4">
        <v>613</v>
      </c>
      <c r="E617" s="4">
        <v>22452</v>
      </c>
      <c r="F617" s="4" t="str">
        <f t="shared" si="40"/>
        <v>57B4</v>
      </c>
      <c r="G617" s="5" t="s">
        <v>650</v>
      </c>
      <c r="H617" s="5" t="s">
        <v>2086</v>
      </c>
      <c r="I617" s="4" t="s">
        <v>9</v>
      </c>
    </row>
    <row r="618" spans="2:9" ht="17.100000000000001" customHeight="1" x14ac:dyDescent="0.3">
      <c r="B618" s="19"/>
      <c r="C618" s="17"/>
      <c r="D618" s="4">
        <v>614</v>
      </c>
      <c r="E618" s="4">
        <v>22456</v>
      </c>
      <c r="F618" s="4" t="str">
        <f t="shared" si="40"/>
        <v>57B8</v>
      </c>
      <c r="G618" s="5" t="s">
        <v>651</v>
      </c>
      <c r="H618" s="5" t="s">
        <v>2087</v>
      </c>
      <c r="I618" s="4" t="s">
        <v>9</v>
      </c>
    </row>
    <row r="619" spans="2:9" ht="17.100000000000001" customHeight="1" x14ac:dyDescent="0.3">
      <c r="B619" s="19"/>
      <c r="C619" s="17"/>
      <c r="D619" s="4">
        <v>615</v>
      </c>
      <c r="E619" s="4">
        <v>22460</v>
      </c>
      <c r="F619" s="4" t="str">
        <f t="shared" si="40"/>
        <v>57BC</v>
      </c>
      <c r="G619" s="6" t="str">
        <f>"pUmem_Cmd_TBD_"&amp;F619</f>
        <v>pUmem_Cmd_TBD_57BC</v>
      </c>
      <c r="H619" s="6"/>
      <c r="I619" s="7"/>
    </row>
    <row r="620" spans="2:9" ht="17.100000000000001" customHeight="1" x14ac:dyDescent="0.3">
      <c r="B620" s="19"/>
      <c r="C620" s="17"/>
      <c r="D620" s="4">
        <v>616</v>
      </c>
      <c r="E620" s="4">
        <v>22464</v>
      </c>
      <c r="F620" s="4" t="str">
        <f t="shared" si="40"/>
        <v>57C0</v>
      </c>
      <c r="G620" s="6" t="str">
        <f t="shared" ref="G620:G622" si="42">"pUmem_Cmd_TBD_"&amp;F620</f>
        <v>pUmem_Cmd_TBD_57C0</v>
      </c>
      <c r="H620" s="6"/>
      <c r="I620" s="7"/>
    </row>
    <row r="621" spans="2:9" ht="17.100000000000001" customHeight="1" x14ac:dyDescent="0.3">
      <c r="B621" s="19"/>
      <c r="C621" s="17"/>
      <c r="D621" s="4">
        <v>617</v>
      </c>
      <c r="E621" s="4">
        <v>22468</v>
      </c>
      <c r="F621" s="4" t="str">
        <f t="shared" si="40"/>
        <v>57C4</v>
      </c>
      <c r="G621" s="6" t="str">
        <f t="shared" si="42"/>
        <v>pUmem_Cmd_TBD_57C4</v>
      </c>
      <c r="H621" s="6"/>
      <c r="I621" s="7"/>
    </row>
    <row r="622" spans="2:9" ht="17.100000000000001" customHeight="1" x14ac:dyDescent="0.3">
      <c r="B622" s="19"/>
      <c r="C622" s="17"/>
      <c r="D622" s="4">
        <v>618</v>
      </c>
      <c r="E622" s="4">
        <v>22472</v>
      </c>
      <c r="F622" s="4" t="str">
        <f t="shared" si="40"/>
        <v>57C8</v>
      </c>
      <c r="G622" s="6" t="str">
        <f t="shared" si="42"/>
        <v>pUmem_Cmd_TBD_57C8</v>
      </c>
      <c r="H622" s="6"/>
      <c r="I622" s="7"/>
    </row>
    <row r="623" spans="2:9" ht="17.100000000000001" customHeight="1" x14ac:dyDescent="0.3">
      <c r="B623" s="19"/>
      <c r="C623" s="17"/>
      <c r="D623" s="4">
        <v>619</v>
      </c>
      <c r="E623" s="4">
        <v>22476</v>
      </c>
      <c r="F623" s="4" t="str">
        <f t="shared" si="40"/>
        <v>57CC</v>
      </c>
      <c r="G623" s="6" t="str">
        <f>"pUmem_Cmd_TBD_"&amp;F623</f>
        <v>pUmem_Cmd_TBD_57CC</v>
      </c>
      <c r="H623" s="6"/>
      <c r="I623" s="7"/>
    </row>
    <row r="624" spans="2:9" ht="17.100000000000001" customHeight="1" x14ac:dyDescent="0.3">
      <c r="B624" s="19"/>
      <c r="C624" s="17" t="s">
        <v>306</v>
      </c>
      <c r="D624" s="4">
        <v>620</v>
      </c>
      <c r="E624" s="4">
        <v>22480</v>
      </c>
      <c r="F624" s="4" t="str">
        <f t="shared" si="40"/>
        <v>57D0</v>
      </c>
      <c r="G624" s="5" t="s">
        <v>652</v>
      </c>
      <c r="H624" s="5" t="s">
        <v>2073</v>
      </c>
      <c r="I624" s="4" t="s">
        <v>5</v>
      </c>
    </row>
    <row r="625" spans="2:9" ht="17.100000000000001" customHeight="1" x14ac:dyDescent="0.3">
      <c r="B625" s="19"/>
      <c r="C625" s="17"/>
      <c r="D625" s="4">
        <v>621</v>
      </c>
      <c r="E625" s="4">
        <v>22484</v>
      </c>
      <c r="F625" s="4" t="str">
        <f t="shared" si="40"/>
        <v>57D4</v>
      </c>
      <c r="G625" s="5" t="s">
        <v>653</v>
      </c>
      <c r="H625" s="5" t="s">
        <v>2074</v>
      </c>
      <c r="I625" s="4" t="s">
        <v>5</v>
      </c>
    </row>
    <row r="626" spans="2:9" ht="17.100000000000001" customHeight="1" x14ac:dyDescent="0.3">
      <c r="B626" s="19"/>
      <c r="C626" s="17"/>
      <c r="D626" s="4">
        <v>622</v>
      </c>
      <c r="E626" s="4">
        <v>22488</v>
      </c>
      <c r="F626" s="4" t="str">
        <f t="shared" si="40"/>
        <v>57D8</v>
      </c>
      <c r="G626" s="5" t="s">
        <v>654</v>
      </c>
      <c r="H626" s="5" t="s">
        <v>2075</v>
      </c>
      <c r="I626" s="4" t="s">
        <v>5</v>
      </c>
    </row>
    <row r="627" spans="2:9" ht="17.100000000000001" customHeight="1" x14ac:dyDescent="0.3">
      <c r="B627" s="19"/>
      <c r="C627" s="17"/>
      <c r="D627" s="4">
        <v>623</v>
      </c>
      <c r="E627" s="4">
        <v>22492</v>
      </c>
      <c r="F627" s="4" t="str">
        <f t="shared" si="40"/>
        <v>57DC</v>
      </c>
      <c r="G627" s="5" t="s">
        <v>655</v>
      </c>
      <c r="H627" s="5" t="s">
        <v>2076</v>
      </c>
      <c r="I627" s="4" t="s">
        <v>5</v>
      </c>
    </row>
    <row r="628" spans="2:9" ht="17.100000000000001" customHeight="1" x14ac:dyDescent="0.3">
      <c r="B628" s="19"/>
      <c r="C628" s="17"/>
      <c r="D628" s="4">
        <v>624</v>
      </c>
      <c r="E628" s="4">
        <v>22496</v>
      </c>
      <c r="F628" s="4" t="str">
        <f t="shared" si="40"/>
        <v>57E0</v>
      </c>
      <c r="G628" s="5" t="s">
        <v>656</v>
      </c>
      <c r="H628" s="5" t="s">
        <v>2077</v>
      </c>
      <c r="I628" s="4" t="s">
        <v>14</v>
      </c>
    </row>
    <row r="629" spans="2:9" ht="17.100000000000001" customHeight="1" x14ac:dyDescent="0.3">
      <c r="B629" s="19"/>
      <c r="C629" s="17"/>
      <c r="D629" s="4">
        <v>625</v>
      </c>
      <c r="E629" s="4">
        <v>22500</v>
      </c>
      <c r="F629" s="4" t="str">
        <f t="shared" si="40"/>
        <v>57E4</v>
      </c>
      <c r="G629" s="5" t="s">
        <v>657</v>
      </c>
      <c r="H629" s="5" t="s">
        <v>2078</v>
      </c>
      <c r="I629" s="4" t="s">
        <v>5</v>
      </c>
    </row>
    <row r="630" spans="2:9" ht="17.100000000000001" customHeight="1" x14ac:dyDescent="0.3">
      <c r="B630" s="19"/>
      <c r="C630" s="17"/>
      <c r="D630" s="4">
        <v>626</v>
      </c>
      <c r="E630" s="4">
        <v>22504</v>
      </c>
      <c r="F630" s="4" t="str">
        <f t="shared" si="40"/>
        <v>57E8</v>
      </c>
      <c r="G630" s="5" t="s">
        <v>658</v>
      </c>
      <c r="H630" s="5" t="s">
        <v>2079</v>
      </c>
      <c r="I630" s="4" t="s">
        <v>5</v>
      </c>
    </row>
    <row r="631" spans="2:9" ht="17.100000000000001" customHeight="1" x14ac:dyDescent="0.3">
      <c r="B631" s="19"/>
      <c r="C631" s="17"/>
      <c r="D631" s="4">
        <v>627</v>
      </c>
      <c r="E631" s="4">
        <v>22508</v>
      </c>
      <c r="F631" s="4" t="str">
        <f t="shared" si="40"/>
        <v>57EC</v>
      </c>
      <c r="G631" s="5" t="s">
        <v>659</v>
      </c>
      <c r="H631" s="5" t="s">
        <v>2080</v>
      </c>
      <c r="I631" s="4" t="s">
        <v>5</v>
      </c>
    </row>
    <row r="632" spans="2:9" ht="17.100000000000001" customHeight="1" x14ac:dyDescent="0.3">
      <c r="B632" s="19"/>
      <c r="C632" s="17"/>
      <c r="D632" s="4">
        <v>628</v>
      </c>
      <c r="E632" s="4">
        <v>22512</v>
      </c>
      <c r="F632" s="4" t="str">
        <f t="shared" si="40"/>
        <v>57F0</v>
      </c>
      <c r="G632" s="5" t="s">
        <v>660</v>
      </c>
      <c r="H632" s="5" t="s">
        <v>2081</v>
      </c>
      <c r="I632" s="4" t="s">
        <v>5</v>
      </c>
    </row>
    <row r="633" spans="2:9" ht="17.100000000000001" customHeight="1" x14ac:dyDescent="0.3">
      <c r="B633" s="19"/>
      <c r="C633" s="17"/>
      <c r="D633" s="4">
        <v>629</v>
      </c>
      <c r="E633" s="4">
        <v>22516</v>
      </c>
      <c r="F633" s="4" t="str">
        <f t="shared" si="40"/>
        <v>57F4</v>
      </c>
      <c r="G633" s="5" t="s">
        <v>661</v>
      </c>
      <c r="H633" s="5" t="s">
        <v>2082</v>
      </c>
      <c r="I633" s="4" t="s">
        <v>5</v>
      </c>
    </row>
    <row r="634" spans="2:9" ht="17.100000000000001" customHeight="1" x14ac:dyDescent="0.3">
      <c r="B634" s="19"/>
      <c r="C634" s="17"/>
      <c r="D634" s="4">
        <v>630</v>
      </c>
      <c r="E634" s="4">
        <v>22520</v>
      </c>
      <c r="F634" s="4" t="str">
        <f t="shared" si="40"/>
        <v>57F8</v>
      </c>
      <c r="G634" s="5" t="s">
        <v>662</v>
      </c>
      <c r="H634" s="5" t="s">
        <v>2083</v>
      </c>
      <c r="I634" s="4" t="s">
        <v>14</v>
      </c>
    </row>
    <row r="635" spans="2:9" ht="17.100000000000001" customHeight="1" x14ac:dyDescent="0.3">
      <c r="B635" s="19"/>
      <c r="C635" s="17"/>
      <c r="D635" s="4">
        <v>631</v>
      </c>
      <c r="E635" s="4">
        <v>22524</v>
      </c>
      <c r="F635" s="4" t="str">
        <f t="shared" si="40"/>
        <v>57FC</v>
      </c>
      <c r="G635" s="5" t="s">
        <v>663</v>
      </c>
      <c r="H635" s="5" t="s">
        <v>2084</v>
      </c>
      <c r="I635" s="4" t="s">
        <v>14</v>
      </c>
    </row>
    <row r="636" spans="2:9" ht="17.100000000000001" customHeight="1" x14ac:dyDescent="0.3">
      <c r="B636" s="19"/>
      <c r="C636" s="17"/>
      <c r="D636" s="4">
        <v>632</v>
      </c>
      <c r="E636" s="4">
        <v>22528</v>
      </c>
      <c r="F636" s="4" t="str">
        <f t="shared" si="40"/>
        <v>5800</v>
      </c>
      <c r="G636" s="5" t="s">
        <v>664</v>
      </c>
      <c r="H636" s="5" t="s">
        <v>2085</v>
      </c>
      <c r="I636" s="4" t="s">
        <v>15</v>
      </c>
    </row>
    <row r="637" spans="2:9" ht="17.100000000000001" customHeight="1" x14ac:dyDescent="0.3">
      <c r="B637" s="19"/>
      <c r="C637" s="17"/>
      <c r="D637" s="4">
        <v>633</v>
      </c>
      <c r="E637" s="4">
        <v>22532</v>
      </c>
      <c r="F637" s="4" t="str">
        <f t="shared" si="40"/>
        <v>5804</v>
      </c>
      <c r="G637" s="5" t="s">
        <v>665</v>
      </c>
      <c r="H637" s="5" t="s">
        <v>2086</v>
      </c>
      <c r="I637" s="4" t="s">
        <v>9</v>
      </c>
    </row>
    <row r="638" spans="2:9" ht="17.100000000000001" customHeight="1" x14ac:dyDescent="0.3">
      <c r="B638" s="19"/>
      <c r="C638" s="17"/>
      <c r="D638" s="4">
        <v>634</v>
      </c>
      <c r="E638" s="4">
        <v>22536</v>
      </c>
      <c r="F638" s="4" t="str">
        <f t="shared" si="40"/>
        <v>5808</v>
      </c>
      <c r="G638" s="5" t="s">
        <v>666</v>
      </c>
      <c r="H638" s="5" t="s">
        <v>2087</v>
      </c>
      <c r="I638" s="4" t="s">
        <v>9</v>
      </c>
    </row>
    <row r="639" spans="2:9" ht="17.100000000000001" customHeight="1" x14ac:dyDescent="0.3">
      <c r="B639" s="19"/>
      <c r="C639" s="17"/>
      <c r="D639" s="4">
        <v>635</v>
      </c>
      <c r="E639" s="4">
        <v>22540</v>
      </c>
      <c r="F639" s="4" t="str">
        <f t="shared" si="40"/>
        <v>580C</v>
      </c>
      <c r="G639" s="6" t="str">
        <f>"pUmem_Cmd_TBD_"&amp;F639</f>
        <v>pUmem_Cmd_TBD_580C</v>
      </c>
      <c r="H639" s="6"/>
      <c r="I639" s="7"/>
    </row>
    <row r="640" spans="2:9" ht="17.100000000000001" customHeight="1" x14ac:dyDescent="0.3">
      <c r="B640" s="19"/>
      <c r="C640" s="17"/>
      <c r="D640" s="4">
        <v>636</v>
      </c>
      <c r="E640" s="4">
        <v>22544</v>
      </c>
      <c r="F640" s="4" t="str">
        <f t="shared" si="40"/>
        <v>5810</v>
      </c>
      <c r="G640" s="6" t="str">
        <f t="shared" ref="G640:G642" si="43">"pUmem_Cmd_TBD_"&amp;F640</f>
        <v>pUmem_Cmd_TBD_5810</v>
      </c>
      <c r="H640" s="6"/>
      <c r="I640" s="7"/>
    </row>
    <row r="641" spans="2:9" ht="17.100000000000001" customHeight="1" x14ac:dyDescent="0.3">
      <c r="B641" s="19"/>
      <c r="C641" s="17"/>
      <c r="D641" s="4">
        <v>637</v>
      </c>
      <c r="E641" s="4">
        <v>22548</v>
      </c>
      <c r="F641" s="4" t="str">
        <f t="shared" si="40"/>
        <v>5814</v>
      </c>
      <c r="G641" s="6" t="str">
        <f t="shared" si="43"/>
        <v>pUmem_Cmd_TBD_5814</v>
      </c>
      <c r="H641" s="6"/>
      <c r="I641" s="7"/>
    </row>
    <row r="642" spans="2:9" ht="17.100000000000001" customHeight="1" x14ac:dyDescent="0.3">
      <c r="B642" s="19"/>
      <c r="C642" s="17"/>
      <c r="D642" s="4">
        <v>638</v>
      </c>
      <c r="E642" s="4">
        <v>22552</v>
      </c>
      <c r="F642" s="4" t="str">
        <f t="shared" si="40"/>
        <v>5818</v>
      </c>
      <c r="G642" s="6" t="str">
        <f t="shared" si="43"/>
        <v>pUmem_Cmd_TBD_5818</v>
      </c>
      <c r="H642" s="6"/>
      <c r="I642" s="7"/>
    </row>
    <row r="643" spans="2:9" ht="17.100000000000001" customHeight="1" x14ac:dyDescent="0.3">
      <c r="B643" s="19"/>
      <c r="C643" s="17"/>
      <c r="D643" s="4">
        <v>639</v>
      </c>
      <c r="E643" s="4">
        <v>22556</v>
      </c>
      <c r="F643" s="4" t="str">
        <f t="shared" si="40"/>
        <v>581C</v>
      </c>
      <c r="G643" s="6" t="str">
        <f>"pUmem_Cmd_TBD_"&amp;F643</f>
        <v>pUmem_Cmd_TBD_581C</v>
      </c>
      <c r="H643" s="6"/>
      <c r="I643" s="7"/>
    </row>
    <row r="647" spans="2:9" ht="17.100000000000001" customHeight="1" x14ac:dyDescent="0.3">
      <c r="B647" s="19" t="s">
        <v>272</v>
      </c>
      <c r="C647" s="19"/>
      <c r="D647" s="4">
        <v>0</v>
      </c>
      <c r="E647" s="4">
        <v>25000</v>
      </c>
      <c r="F647" s="4" t="str">
        <f>DEC2HEX(E647)</f>
        <v>61A8</v>
      </c>
      <c r="G647" s="5" t="s">
        <v>273</v>
      </c>
      <c r="H647" s="5" t="s">
        <v>2088</v>
      </c>
      <c r="I647" s="4" t="s">
        <v>4</v>
      </c>
    </row>
    <row r="648" spans="2:9" ht="17.100000000000001" customHeight="1" x14ac:dyDescent="0.3">
      <c r="B648" s="19"/>
      <c r="C648" s="19"/>
      <c r="D648" s="4">
        <v>1</v>
      </c>
      <c r="E648" s="4">
        <v>25004</v>
      </c>
      <c r="F648" s="4" t="str">
        <f t="shared" ref="F648:F666" si="44">DEC2HEX(E648)</f>
        <v>61AC</v>
      </c>
      <c r="G648" s="5" t="s">
        <v>274</v>
      </c>
      <c r="H648" s="5" t="s">
        <v>2089</v>
      </c>
      <c r="I648" s="4" t="s">
        <v>4</v>
      </c>
    </row>
    <row r="649" spans="2:9" ht="17.100000000000001" customHeight="1" x14ac:dyDescent="0.3">
      <c r="B649" s="19"/>
      <c r="C649" s="19"/>
      <c r="D649" s="4">
        <v>2</v>
      </c>
      <c r="E649" s="4">
        <v>25008</v>
      </c>
      <c r="F649" s="4" t="str">
        <f t="shared" si="44"/>
        <v>61B0</v>
      </c>
      <c r="G649" s="5" t="s">
        <v>275</v>
      </c>
      <c r="H649" s="5" t="s">
        <v>2090</v>
      </c>
      <c r="I649" s="4" t="s">
        <v>4</v>
      </c>
    </row>
    <row r="650" spans="2:9" ht="17.100000000000001" customHeight="1" x14ac:dyDescent="0.3">
      <c r="B650" s="19"/>
      <c r="C650" s="19"/>
      <c r="D650" s="4">
        <v>3</v>
      </c>
      <c r="E650" s="4">
        <v>25012</v>
      </c>
      <c r="F650" s="4" t="str">
        <f t="shared" si="44"/>
        <v>61B4</v>
      </c>
      <c r="G650" s="5" t="s">
        <v>2035</v>
      </c>
      <c r="H650" s="5" t="s">
        <v>2091</v>
      </c>
      <c r="I650" s="4" t="s">
        <v>4</v>
      </c>
    </row>
    <row r="651" spans="2:9" ht="17.100000000000001" customHeight="1" x14ac:dyDescent="0.3">
      <c r="B651" s="19"/>
      <c r="C651" s="19"/>
      <c r="D651" s="4">
        <v>4</v>
      </c>
      <c r="E651" s="4">
        <v>25016</v>
      </c>
      <c r="F651" s="4" t="str">
        <f t="shared" si="44"/>
        <v>61B8</v>
      </c>
      <c r="G651" s="5" t="s">
        <v>276</v>
      </c>
      <c r="H651" s="5" t="s">
        <v>2092</v>
      </c>
      <c r="I651" s="4" t="s">
        <v>4</v>
      </c>
    </row>
    <row r="652" spans="2:9" ht="17.100000000000001" customHeight="1" x14ac:dyDescent="0.3">
      <c r="B652" s="19"/>
      <c r="C652" s="19"/>
      <c r="D652" s="4">
        <v>5</v>
      </c>
      <c r="E652" s="4">
        <v>25020</v>
      </c>
      <c r="F652" s="4" t="str">
        <f t="shared" si="44"/>
        <v>61BC</v>
      </c>
      <c r="G652" s="5" t="s">
        <v>277</v>
      </c>
      <c r="H652" s="5" t="s">
        <v>2093</v>
      </c>
      <c r="I652" s="4" t="s">
        <v>4</v>
      </c>
    </row>
    <row r="653" spans="2:9" ht="17.100000000000001" customHeight="1" x14ac:dyDescent="0.3">
      <c r="B653" s="19"/>
      <c r="C653" s="19"/>
      <c r="D653" s="4">
        <v>6</v>
      </c>
      <c r="E653" s="4">
        <v>25024</v>
      </c>
      <c r="F653" s="4" t="str">
        <f t="shared" si="44"/>
        <v>61C0</v>
      </c>
      <c r="G653" s="5" t="s">
        <v>278</v>
      </c>
      <c r="H653" s="5" t="s">
        <v>2094</v>
      </c>
      <c r="I653" s="4" t="s">
        <v>4</v>
      </c>
    </row>
    <row r="654" spans="2:9" ht="17.100000000000001" customHeight="1" x14ac:dyDescent="0.3">
      <c r="B654" s="19"/>
      <c r="C654" s="19"/>
      <c r="D654" s="4">
        <v>7</v>
      </c>
      <c r="E654" s="4">
        <v>25028</v>
      </c>
      <c r="F654" s="4" t="str">
        <f t="shared" si="44"/>
        <v>61C4</v>
      </c>
      <c r="G654" s="5" t="s">
        <v>279</v>
      </c>
      <c r="H654" s="5" t="s">
        <v>2095</v>
      </c>
      <c r="I654" s="4" t="s">
        <v>1989</v>
      </c>
    </row>
    <row r="655" spans="2:9" ht="17.100000000000001" customHeight="1" x14ac:dyDescent="0.3">
      <c r="B655" s="19"/>
      <c r="C655" s="19"/>
      <c r="D655" s="4">
        <v>8</v>
      </c>
      <c r="E655" s="4">
        <v>25032</v>
      </c>
      <c r="F655" s="4" t="str">
        <f t="shared" si="44"/>
        <v>61C8</v>
      </c>
      <c r="G655" s="5" t="s">
        <v>2190</v>
      </c>
      <c r="H655" s="5" t="s">
        <v>2191</v>
      </c>
      <c r="I655" s="4" t="s">
        <v>4</v>
      </c>
    </row>
    <row r="656" spans="2:9" ht="17.100000000000001" customHeight="1" x14ac:dyDescent="0.3">
      <c r="B656" s="19"/>
      <c r="C656" s="19"/>
      <c r="D656" s="4">
        <v>9</v>
      </c>
      <c r="E656" s="4">
        <v>25036</v>
      </c>
      <c r="F656" s="4" t="str">
        <f t="shared" si="44"/>
        <v>61CC</v>
      </c>
      <c r="G656" s="6" t="str">
        <f t="shared" ref="G656" si="45">"pUmem_Cmd_TBD_"&amp;F656</f>
        <v>pUmem_Cmd_TBD_61CC</v>
      </c>
      <c r="H656" s="6"/>
      <c r="I656" s="7"/>
    </row>
    <row r="657" spans="2:9" ht="17.100000000000001" customHeight="1" x14ac:dyDescent="0.3">
      <c r="B657" s="19"/>
      <c r="C657" s="19"/>
      <c r="D657" s="4">
        <v>10</v>
      </c>
      <c r="E657" s="4">
        <v>25040</v>
      </c>
      <c r="F657" s="4" t="str">
        <f t="shared" si="44"/>
        <v>61D0</v>
      </c>
      <c r="G657" s="6" t="str">
        <f t="shared" ref="G657:G666" si="46">"pUmem_Cmd_TBD_"&amp;F657</f>
        <v>pUmem_Cmd_TBD_61D0</v>
      </c>
      <c r="H657" s="6"/>
      <c r="I657" s="7"/>
    </row>
    <row r="658" spans="2:9" ht="17.100000000000001" customHeight="1" x14ac:dyDescent="0.3">
      <c r="B658" s="19"/>
      <c r="C658" s="19"/>
      <c r="D658" s="4">
        <v>11</v>
      </c>
      <c r="E658" s="4">
        <v>25044</v>
      </c>
      <c r="F658" s="4" t="str">
        <f t="shared" si="44"/>
        <v>61D4</v>
      </c>
      <c r="G658" s="6" t="str">
        <f t="shared" si="46"/>
        <v>pUmem_Cmd_TBD_61D4</v>
      </c>
      <c r="H658" s="6"/>
      <c r="I658" s="7"/>
    </row>
    <row r="659" spans="2:9" ht="17.100000000000001" customHeight="1" x14ac:dyDescent="0.3">
      <c r="B659" s="19"/>
      <c r="C659" s="19"/>
      <c r="D659" s="4">
        <v>12</v>
      </c>
      <c r="E659" s="4">
        <v>25048</v>
      </c>
      <c r="F659" s="4" t="str">
        <f t="shared" si="44"/>
        <v>61D8</v>
      </c>
      <c r="G659" s="6" t="str">
        <f t="shared" si="46"/>
        <v>pUmem_Cmd_TBD_61D8</v>
      </c>
      <c r="H659" s="6"/>
      <c r="I659" s="7"/>
    </row>
    <row r="660" spans="2:9" ht="17.100000000000001" customHeight="1" x14ac:dyDescent="0.3">
      <c r="B660" s="19"/>
      <c r="C660" s="19"/>
      <c r="D660" s="4">
        <v>13</v>
      </c>
      <c r="E660" s="4">
        <v>25052</v>
      </c>
      <c r="F660" s="4" t="str">
        <f t="shared" si="44"/>
        <v>61DC</v>
      </c>
      <c r="G660" s="6" t="str">
        <f t="shared" si="46"/>
        <v>pUmem_Cmd_TBD_61DC</v>
      </c>
      <c r="H660" s="6"/>
      <c r="I660" s="7"/>
    </row>
    <row r="661" spans="2:9" ht="17.100000000000001" customHeight="1" x14ac:dyDescent="0.3">
      <c r="B661" s="19"/>
      <c r="C661" s="19"/>
      <c r="D661" s="4">
        <v>14</v>
      </c>
      <c r="E661" s="4">
        <v>25056</v>
      </c>
      <c r="F661" s="4" t="str">
        <f t="shared" si="44"/>
        <v>61E0</v>
      </c>
      <c r="G661" s="6" t="str">
        <f t="shared" si="46"/>
        <v>pUmem_Cmd_TBD_61E0</v>
      </c>
      <c r="H661" s="6"/>
      <c r="I661" s="7"/>
    </row>
    <row r="662" spans="2:9" ht="17.100000000000001" customHeight="1" x14ac:dyDescent="0.3">
      <c r="B662" s="19"/>
      <c r="C662" s="19"/>
      <c r="D662" s="4">
        <v>15</v>
      </c>
      <c r="E662" s="4">
        <v>25060</v>
      </c>
      <c r="F662" s="4" t="str">
        <f t="shared" si="44"/>
        <v>61E4</v>
      </c>
      <c r="G662" s="6" t="str">
        <f t="shared" si="46"/>
        <v>pUmem_Cmd_TBD_61E4</v>
      </c>
      <c r="H662" s="6"/>
      <c r="I662" s="7"/>
    </row>
    <row r="663" spans="2:9" ht="17.100000000000001" customHeight="1" x14ac:dyDescent="0.3">
      <c r="B663" s="19"/>
      <c r="C663" s="19"/>
      <c r="D663" s="4">
        <v>16</v>
      </c>
      <c r="E663" s="4">
        <v>25064</v>
      </c>
      <c r="F663" s="4" t="str">
        <f t="shared" si="44"/>
        <v>61E8</v>
      </c>
      <c r="G663" s="6" t="str">
        <f t="shared" si="46"/>
        <v>pUmem_Cmd_TBD_61E8</v>
      </c>
      <c r="H663" s="6"/>
      <c r="I663" s="7"/>
    </row>
    <row r="664" spans="2:9" ht="17.100000000000001" customHeight="1" x14ac:dyDescent="0.3">
      <c r="B664" s="19"/>
      <c r="C664" s="19"/>
      <c r="D664" s="4">
        <v>17</v>
      </c>
      <c r="E664" s="4">
        <v>25068</v>
      </c>
      <c r="F664" s="4" t="str">
        <f t="shared" si="44"/>
        <v>61EC</v>
      </c>
      <c r="G664" s="6" t="str">
        <f t="shared" si="46"/>
        <v>pUmem_Cmd_TBD_61EC</v>
      </c>
      <c r="H664" s="6"/>
      <c r="I664" s="7"/>
    </row>
    <row r="665" spans="2:9" ht="17.100000000000001" customHeight="1" x14ac:dyDescent="0.3">
      <c r="B665" s="19"/>
      <c r="C665" s="19"/>
      <c r="D665" s="4">
        <v>18</v>
      </c>
      <c r="E665" s="4">
        <v>25072</v>
      </c>
      <c r="F665" s="4" t="str">
        <f t="shared" si="44"/>
        <v>61F0</v>
      </c>
      <c r="G665" s="6" t="str">
        <f t="shared" si="46"/>
        <v>pUmem_Cmd_TBD_61F0</v>
      </c>
      <c r="H665" s="6"/>
      <c r="I665" s="7"/>
    </row>
    <row r="666" spans="2:9" ht="17.100000000000001" customHeight="1" x14ac:dyDescent="0.3">
      <c r="B666" s="19"/>
      <c r="C666" s="19"/>
      <c r="D666" s="4">
        <v>19</v>
      </c>
      <c r="E666" s="4">
        <v>25076</v>
      </c>
      <c r="F666" s="4" t="str">
        <f t="shared" si="44"/>
        <v>61F4</v>
      </c>
      <c r="G666" s="6" t="str">
        <f t="shared" si="46"/>
        <v>pUmem_Cmd_TBD_61F4</v>
      </c>
      <c r="H666" s="6"/>
      <c r="I666" s="7"/>
    </row>
    <row r="667" spans="2:9" ht="17.100000000000001" customHeight="1" x14ac:dyDescent="0.3">
      <c r="B667" s="19"/>
      <c r="C667" s="19"/>
      <c r="D667" s="4">
        <v>20</v>
      </c>
      <c r="E667" s="4">
        <v>25080</v>
      </c>
      <c r="F667" s="4" t="str">
        <f t="shared" ref="F667:F697" si="47">DEC2HEX(E667)</f>
        <v>61F8</v>
      </c>
      <c r="G667" s="6" t="str">
        <f t="shared" ref="G667:G676" si="48">"pUmem_Cmd_TBD_"&amp;F667</f>
        <v>pUmem_Cmd_TBD_61F8</v>
      </c>
      <c r="H667" s="6"/>
      <c r="I667" s="7"/>
    </row>
    <row r="668" spans="2:9" ht="17.100000000000001" customHeight="1" x14ac:dyDescent="0.3">
      <c r="B668" s="19"/>
      <c r="C668" s="19"/>
      <c r="D668" s="4">
        <v>21</v>
      </c>
      <c r="E668" s="4">
        <v>25084</v>
      </c>
      <c r="F668" s="4" t="str">
        <f t="shared" si="47"/>
        <v>61FC</v>
      </c>
      <c r="G668" s="6" t="str">
        <f t="shared" si="48"/>
        <v>pUmem_Cmd_TBD_61FC</v>
      </c>
      <c r="H668" s="6"/>
      <c r="I668" s="7"/>
    </row>
    <row r="669" spans="2:9" ht="17.100000000000001" customHeight="1" x14ac:dyDescent="0.3">
      <c r="B669" s="19"/>
      <c r="C669" s="19"/>
      <c r="D669" s="4">
        <v>22</v>
      </c>
      <c r="E669" s="4">
        <v>25088</v>
      </c>
      <c r="F669" s="4" t="str">
        <f t="shared" si="47"/>
        <v>6200</v>
      </c>
      <c r="G669" s="6" t="str">
        <f t="shared" si="48"/>
        <v>pUmem_Cmd_TBD_6200</v>
      </c>
      <c r="H669" s="6"/>
      <c r="I669" s="7"/>
    </row>
    <row r="670" spans="2:9" ht="17.100000000000001" customHeight="1" x14ac:dyDescent="0.3">
      <c r="B670" s="19"/>
      <c r="C670" s="19"/>
      <c r="D670" s="4">
        <v>23</v>
      </c>
      <c r="E670" s="4">
        <v>25092</v>
      </c>
      <c r="F670" s="4" t="str">
        <f t="shared" si="47"/>
        <v>6204</v>
      </c>
      <c r="G670" s="6" t="str">
        <f t="shared" si="48"/>
        <v>pUmem_Cmd_TBD_6204</v>
      </c>
      <c r="H670" s="6"/>
      <c r="I670" s="7"/>
    </row>
    <row r="671" spans="2:9" ht="17.100000000000001" customHeight="1" x14ac:dyDescent="0.3">
      <c r="B671" s="19"/>
      <c r="C671" s="19"/>
      <c r="D671" s="4">
        <v>24</v>
      </c>
      <c r="E671" s="4">
        <v>25096</v>
      </c>
      <c r="F671" s="4" t="str">
        <f t="shared" si="47"/>
        <v>6208</v>
      </c>
      <c r="G671" s="6" t="str">
        <f t="shared" si="48"/>
        <v>pUmem_Cmd_TBD_6208</v>
      </c>
      <c r="H671" s="6"/>
      <c r="I671" s="7"/>
    </row>
    <row r="672" spans="2:9" ht="17.100000000000001" customHeight="1" x14ac:dyDescent="0.3">
      <c r="B672" s="19"/>
      <c r="C672" s="19"/>
      <c r="D672" s="4">
        <v>25</v>
      </c>
      <c r="E672" s="4">
        <v>25100</v>
      </c>
      <c r="F672" s="4" t="str">
        <f t="shared" si="47"/>
        <v>620C</v>
      </c>
      <c r="G672" s="6" t="str">
        <f t="shared" si="48"/>
        <v>pUmem_Cmd_TBD_620C</v>
      </c>
      <c r="H672" s="6"/>
      <c r="I672" s="7"/>
    </row>
    <row r="673" spans="2:9" ht="17.100000000000001" customHeight="1" x14ac:dyDescent="0.3">
      <c r="B673" s="19"/>
      <c r="C673" s="19"/>
      <c r="D673" s="4">
        <v>26</v>
      </c>
      <c r="E673" s="4">
        <v>25104</v>
      </c>
      <c r="F673" s="4" t="str">
        <f t="shared" si="47"/>
        <v>6210</v>
      </c>
      <c r="G673" s="6" t="str">
        <f t="shared" si="48"/>
        <v>pUmem_Cmd_TBD_6210</v>
      </c>
      <c r="H673" s="6"/>
      <c r="I673" s="7"/>
    </row>
    <row r="674" spans="2:9" ht="17.100000000000001" customHeight="1" x14ac:dyDescent="0.3">
      <c r="B674" s="19"/>
      <c r="C674" s="19"/>
      <c r="D674" s="4">
        <v>27</v>
      </c>
      <c r="E674" s="4">
        <v>25108</v>
      </c>
      <c r="F674" s="4" t="str">
        <f t="shared" si="47"/>
        <v>6214</v>
      </c>
      <c r="G674" s="6" t="str">
        <f t="shared" si="48"/>
        <v>pUmem_Cmd_TBD_6214</v>
      </c>
      <c r="H674" s="6"/>
      <c r="I674" s="7"/>
    </row>
    <row r="675" spans="2:9" ht="17.100000000000001" customHeight="1" x14ac:dyDescent="0.3">
      <c r="B675" s="19"/>
      <c r="C675" s="19"/>
      <c r="D675" s="4">
        <v>28</v>
      </c>
      <c r="E675" s="4">
        <v>25112</v>
      </c>
      <c r="F675" s="4" t="str">
        <f t="shared" si="47"/>
        <v>6218</v>
      </c>
      <c r="G675" s="6" t="str">
        <f t="shared" si="48"/>
        <v>pUmem_Cmd_TBD_6218</v>
      </c>
      <c r="H675" s="6"/>
      <c r="I675" s="7"/>
    </row>
    <row r="676" spans="2:9" ht="17.100000000000001" customHeight="1" x14ac:dyDescent="0.3">
      <c r="B676" s="19"/>
      <c r="C676" s="19"/>
      <c r="D676" s="4">
        <v>29</v>
      </c>
      <c r="E676" s="4">
        <v>25116</v>
      </c>
      <c r="F676" s="4" t="str">
        <f t="shared" si="47"/>
        <v>621C</v>
      </c>
      <c r="G676" s="6" t="str">
        <f t="shared" si="48"/>
        <v>pUmem_Cmd_TBD_621C</v>
      </c>
      <c r="H676" s="6"/>
      <c r="I676" s="7"/>
    </row>
    <row r="677" spans="2:9" ht="17.100000000000001" customHeight="1" x14ac:dyDescent="0.3">
      <c r="B677" s="9"/>
      <c r="C677" s="9"/>
      <c r="D677" s="10"/>
      <c r="E677" s="10"/>
      <c r="F677" s="10"/>
      <c r="G677" s="11"/>
      <c r="H677" s="11"/>
    </row>
    <row r="678" spans="2:9" ht="17.100000000000001" customHeight="1" x14ac:dyDescent="0.3">
      <c r="B678" s="19" t="s">
        <v>2034</v>
      </c>
      <c r="C678" s="19"/>
      <c r="D678" s="4">
        <v>0</v>
      </c>
      <c r="E678" s="4">
        <v>26000</v>
      </c>
      <c r="F678" s="4" t="str">
        <f t="shared" si="47"/>
        <v>6590</v>
      </c>
      <c r="G678" s="5" t="s">
        <v>2018</v>
      </c>
      <c r="H678" s="5" t="s">
        <v>2096</v>
      </c>
      <c r="I678" s="4" t="s">
        <v>4</v>
      </c>
    </row>
    <row r="679" spans="2:9" ht="17.100000000000001" customHeight="1" x14ac:dyDescent="0.3">
      <c r="B679" s="19"/>
      <c r="C679" s="19"/>
      <c r="D679" s="4">
        <v>1</v>
      </c>
      <c r="E679" s="4">
        <v>26004</v>
      </c>
      <c r="F679" s="4" t="str">
        <f t="shared" si="47"/>
        <v>6594</v>
      </c>
      <c r="G679" s="5" t="s">
        <v>2019</v>
      </c>
      <c r="H679" s="5" t="s">
        <v>2097</v>
      </c>
      <c r="I679" s="4" t="s">
        <v>4</v>
      </c>
    </row>
    <row r="680" spans="2:9" ht="17.100000000000001" customHeight="1" x14ac:dyDescent="0.3">
      <c r="B680" s="19"/>
      <c r="C680" s="19"/>
      <c r="D680" s="4">
        <v>2</v>
      </c>
      <c r="E680" s="4">
        <v>26008</v>
      </c>
      <c r="F680" s="4" t="str">
        <f t="shared" si="47"/>
        <v>6598</v>
      </c>
      <c r="G680" s="5" t="s">
        <v>2020</v>
      </c>
      <c r="H680" s="5" t="s">
        <v>2098</v>
      </c>
      <c r="I680" s="4" t="s">
        <v>4</v>
      </c>
    </row>
    <row r="681" spans="2:9" ht="17.100000000000001" customHeight="1" x14ac:dyDescent="0.3">
      <c r="B681" s="19"/>
      <c r="C681" s="19"/>
      <c r="D681" s="4">
        <v>3</v>
      </c>
      <c r="E681" s="4">
        <v>26012</v>
      </c>
      <c r="F681" s="4" t="str">
        <f t="shared" si="47"/>
        <v>659C</v>
      </c>
      <c r="G681" s="5" t="s">
        <v>2041</v>
      </c>
      <c r="H681" s="5" t="s">
        <v>2099</v>
      </c>
      <c r="I681" s="4" t="s">
        <v>4</v>
      </c>
    </row>
    <row r="682" spans="2:9" ht="17.100000000000001" customHeight="1" x14ac:dyDescent="0.3">
      <c r="B682" s="19"/>
      <c r="C682" s="19"/>
      <c r="D682" s="4">
        <v>4</v>
      </c>
      <c r="E682" s="4">
        <v>26016</v>
      </c>
      <c r="F682" s="4" t="str">
        <f t="shared" si="47"/>
        <v>65A0</v>
      </c>
      <c r="G682" s="5" t="s">
        <v>2042</v>
      </c>
      <c r="H682" s="5" t="s">
        <v>2100</v>
      </c>
      <c r="I682" s="4" t="s">
        <v>4</v>
      </c>
    </row>
    <row r="683" spans="2:9" ht="17.100000000000001" customHeight="1" x14ac:dyDescent="0.3">
      <c r="B683" s="19"/>
      <c r="C683" s="19"/>
      <c r="D683" s="4">
        <v>5</v>
      </c>
      <c r="E683" s="4">
        <v>26020</v>
      </c>
      <c r="F683" s="4" t="str">
        <f t="shared" si="47"/>
        <v>65A4</v>
      </c>
      <c r="G683" s="5" t="s">
        <v>2043</v>
      </c>
      <c r="H683" s="5" t="s">
        <v>2101</v>
      </c>
      <c r="I683" s="4" t="s">
        <v>4</v>
      </c>
    </row>
    <row r="684" spans="2:9" ht="17.100000000000001" customHeight="1" x14ac:dyDescent="0.3">
      <c r="B684" s="19"/>
      <c r="C684" s="19"/>
      <c r="D684" s="4">
        <v>6</v>
      </c>
      <c r="E684" s="4">
        <v>26024</v>
      </c>
      <c r="F684" s="4" t="str">
        <f t="shared" si="47"/>
        <v>65A8</v>
      </c>
      <c r="G684" s="5" t="s">
        <v>2044</v>
      </c>
      <c r="H684" s="5" t="s">
        <v>2102</v>
      </c>
      <c r="I684" s="4" t="s">
        <v>4</v>
      </c>
    </row>
    <row r="685" spans="2:9" ht="17.100000000000001" customHeight="1" x14ac:dyDescent="0.3">
      <c r="B685" s="19"/>
      <c r="C685" s="19"/>
      <c r="D685" s="4">
        <v>7</v>
      </c>
      <c r="E685" s="4">
        <v>26028</v>
      </c>
      <c r="F685" s="4" t="str">
        <f t="shared" si="47"/>
        <v>65AC</v>
      </c>
      <c r="G685" s="5" t="s">
        <v>2003</v>
      </c>
      <c r="H685" s="5" t="s">
        <v>2103</v>
      </c>
      <c r="I685" s="4" t="s">
        <v>14</v>
      </c>
    </row>
    <row r="686" spans="2:9" ht="17.100000000000001" customHeight="1" x14ac:dyDescent="0.3">
      <c r="B686" s="19"/>
      <c r="C686" s="19"/>
      <c r="D686" s="4">
        <v>8</v>
      </c>
      <c r="E686" s="4">
        <v>26032</v>
      </c>
      <c r="F686" s="4" t="str">
        <f t="shared" si="47"/>
        <v>65B0</v>
      </c>
      <c r="G686" s="5" t="s">
        <v>2004</v>
      </c>
      <c r="H686" s="5" t="s">
        <v>2104</v>
      </c>
      <c r="I686" s="4" t="s">
        <v>14</v>
      </c>
    </row>
    <row r="687" spans="2:9" ht="17.100000000000001" customHeight="1" x14ac:dyDescent="0.3">
      <c r="B687" s="19"/>
      <c r="C687" s="19"/>
      <c r="D687" s="4">
        <v>9</v>
      </c>
      <c r="E687" s="4">
        <v>26036</v>
      </c>
      <c r="F687" s="4" t="str">
        <f t="shared" si="47"/>
        <v>65B4</v>
      </c>
      <c r="G687" s="5" t="s">
        <v>2005</v>
      </c>
      <c r="H687" s="5" t="s">
        <v>2105</v>
      </c>
      <c r="I687" s="4" t="s">
        <v>14</v>
      </c>
    </row>
    <row r="688" spans="2:9" ht="17.100000000000001" customHeight="1" x14ac:dyDescent="0.3">
      <c r="B688" s="19"/>
      <c r="C688" s="19"/>
      <c r="D688" s="4">
        <v>10</v>
      </c>
      <c r="E688" s="4">
        <v>26040</v>
      </c>
      <c r="F688" s="4" t="str">
        <f t="shared" si="47"/>
        <v>65B8</v>
      </c>
      <c r="G688" s="5" t="s">
        <v>2006</v>
      </c>
      <c r="H688" s="5" t="s">
        <v>2106</v>
      </c>
      <c r="I688" s="4" t="s">
        <v>14</v>
      </c>
    </row>
    <row r="689" spans="2:9" ht="17.100000000000001" customHeight="1" x14ac:dyDescent="0.3">
      <c r="B689" s="19"/>
      <c r="C689" s="19"/>
      <c r="D689" s="4">
        <v>11</v>
      </c>
      <c r="E689" s="4">
        <v>26044</v>
      </c>
      <c r="F689" s="4" t="str">
        <f t="shared" si="47"/>
        <v>65BC</v>
      </c>
      <c r="G689" s="5" t="s">
        <v>2007</v>
      </c>
      <c r="H689" s="5" t="s">
        <v>2107</v>
      </c>
      <c r="I689" s="4" t="s">
        <v>14</v>
      </c>
    </row>
    <row r="690" spans="2:9" ht="17.100000000000001" customHeight="1" x14ac:dyDescent="0.3">
      <c r="B690" s="19"/>
      <c r="C690" s="19"/>
      <c r="D690" s="4">
        <v>12</v>
      </c>
      <c r="E690" s="4">
        <v>26048</v>
      </c>
      <c r="F690" s="4" t="str">
        <f t="shared" si="47"/>
        <v>65C0</v>
      </c>
      <c r="G690" s="5" t="s">
        <v>2008</v>
      </c>
      <c r="H690" s="5" t="s">
        <v>2108</v>
      </c>
      <c r="I690" s="4" t="s">
        <v>14</v>
      </c>
    </row>
    <row r="691" spans="2:9" ht="17.100000000000001" customHeight="1" x14ac:dyDescent="0.3">
      <c r="B691" s="19"/>
      <c r="C691" s="19"/>
      <c r="D691" s="4">
        <v>13</v>
      </c>
      <c r="E691" s="4">
        <v>26052</v>
      </c>
      <c r="F691" s="4" t="str">
        <f t="shared" si="47"/>
        <v>65C4</v>
      </c>
      <c r="G691" s="5" t="s">
        <v>2009</v>
      </c>
      <c r="H691" s="5" t="s">
        <v>2109</v>
      </c>
      <c r="I691" s="4" t="s">
        <v>15</v>
      </c>
    </row>
    <row r="692" spans="2:9" ht="17.100000000000001" customHeight="1" x14ac:dyDescent="0.3">
      <c r="B692" s="19"/>
      <c r="C692" s="19"/>
      <c r="D692" s="4">
        <v>14</v>
      </c>
      <c r="E692" s="4">
        <v>26056</v>
      </c>
      <c r="F692" s="4" t="str">
        <f t="shared" si="47"/>
        <v>65C8</v>
      </c>
      <c r="G692" s="5" t="s">
        <v>2010</v>
      </c>
      <c r="H692" s="5" t="s">
        <v>2110</v>
      </c>
      <c r="I692" s="4" t="s">
        <v>15</v>
      </c>
    </row>
    <row r="693" spans="2:9" ht="17.100000000000001" customHeight="1" x14ac:dyDescent="0.3">
      <c r="B693" s="19"/>
      <c r="C693" s="19"/>
      <c r="D693" s="4">
        <v>15</v>
      </c>
      <c r="E693" s="4">
        <v>26060</v>
      </c>
      <c r="F693" s="4" t="str">
        <f t="shared" si="47"/>
        <v>65CC</v>
      </c>
      <c r="G693" s="5" t="s">
        <v>2011</v>
      </c>
      <c r="H693" s="5" t="s">
        <v>2111</v>
      </c>
      <c r="I693" s="4" t="s">
        <v>15</v>
      </c>
    </row>
    <row r="694" spans="2:9" ht="17.100000000000001" customHeight="1" x14ac:dyDescent="0.3">
      <c r="B694" s="19"/>
      <c r="C694" s="19"/>
      <c r="D694" s="4">
        <v>16</v>
      </c>
      <c r="E694" s="4">
        <v>26064</v>
      </c>
      <c r="F694" s="4" t="str">
        <f t="shared" si="47"/>
        <v>65D0</v>
      </c>
      <c r="G694" s="5" t="s">
        <v>2012</v>
      </c>
      <c r="H694" s="5" t="s">
        <v>2112</v>
      </c>
      <c r="I694" s="4" t="s">
        <v>4</v>
      </c>
    </row>
    <row r="695" spans="2:9" ht="17.100000000000001" customHeight="1" x14ac:dyDescent="0.3">
      <c r="B695" s="19"/>
      <c r="C695" s="19"/>
      <c r="D695" s="4">
        <v>17</v>
      </c>
      <c r="E695" s="4">
        <v>26068</v>
      </c>
      <c r="F695" s="4" t="str">
        <f t="shared" si="47"/>
        <v>65D4</v>
      </c>
      <c r="G695" s="5" t="s">
        <v>2014</v>
      </c>
      <c r="H695" s="5" t="s">
        <v>2113</v>
      </c>
      <c r="I695" s="4" t="s">
        <v>4</v>
      </c>
    </row>
    <row r="696" spans="2:9" ht="17.100000000000001" customHeight="1" x14ac:dyDescent="0.3">
      <c r="B696" s="19"/>
      <c r="C696" s="19"/>
      <c r="D696" s="4">
        <v>18</v>
      </c>
      <c r="E696" s="4">
        <v>26072</v>
      </c>
      <c r="F696" s="4" t="str">
        <f t="shared" si="47"/>
        <v>65D8</v>
      </c>
      <c r="G696" s="5" t="s">
        <v>2013</v>
      </c>
      <c r="H696" s="5" t="s">
        <v>2114</v>
      </c>
      <c r="I696" s="4" t="s">
        <v>14</v>
      </c>
    </row>
    <row r="697" spans="2:9" ht="17.100000000000001" customHeight="1" x14ac:dyDescent="0.3">
      <c r="B697" s="19"/>
      <c r="C697" s="19"/>
      <c r="D697" s="4">
        <v>19</v>
      </c>
      <c r="E697" s="4">
        <v>26076</v>
      </c>
      <c r="F697" s="4" t="str">
        <f t="shared" si="47"/>
        <v>65DC</v>
      </c>
      <c r="G697" s="5" t="s">
        <v>2015</v>
      </c>
      <c r="H697" s="5" t="s">
        <v>2115</v>
      </c>
      <c r="I697" s="4" t="s">
        <v>14</v>
      </c>
    </row>
    <row r="698" spans="2:9" ht="17.100000000000001" customHeight="1" x14ac:dyDescent="0.3">
      <c r="B698" s="19"/>
      <c r="C698" s="19"/>
      <c r="D698" s="4">
        <v>20</v>
      </c>
      <c r="E698" s="4">
        <v>26080</v>
      </c>
      <c r="F698" s="4" t="str">
        <f t="shared" ref="F698:F727" si="49">DEC2HEX(E698)</f>
        <v>65E0</v>
      </c>
      <c r="G698" s="5" t="s">
        <v>2016</v>
      </c>
      <c r="H698" s="5" t="s">
        <v>2116</v>
      </c>
      <c r="I698" s="4" t="s">
        <v>1993</v>
      </c>
    </row>
    <row r="699" spans="2:9" ht="17.100000000000001" customHeight="1" x14ac:dyDescent="0.3">
      <c r="B699" s="19"/>
      <c r="C699" s="19"/>
      <c r="D699" s="4">
        <v>21</v>
      </c>
      <c r="E699" s="4">
        <v>26084</v>
      </c>
      <c r="F699" s="4" t="str">
        <f t="shared" si="49"/>
        <v>65E4</v>
      </c>
      <c r="G699" s="5" t="s">
        <v>2017</v>
      </c>
      <c r="H699" s="5" t="s">
        <v>2117</v>
      </c>
      <c r="I699" s="4" t="s">
        <v>1994</v>
      </c>
    </row>
    <row r="700" spans="2:9" ht="17.100000000000001" customHeight="1" x14ac:dyDescent="0.3">
      <c r="B700" s="19"/>
      <c r="C700" s="19"/>
      <c r="D700" s="4">
        <v>22</v>
      </c>
      <c r="E700" s="4">
        <v>26088</v>
      </c>
      <c r="F700" s="4" t="str">
        <f t="shared" si="49"/>
        <v>65E8</v>
      </c>
      <c r="G700" s="5" t="s">
        <v>1998</v>
      </c>
      <c r="H700" s="5" t="s">
        <v>2118</v>
      </c>
      <c r="I700" s="4" t="s">
        <v>1994</v>
      </c>
    </row>
    <row r="701" spans="2:9" ht="17.100000000000001" customHeight="1" x14ac:dyDescent="0.3">
      <c r="B701" s="19"/>
      <c r="C701" s="19"/>
      <c r="D701" s="4">
        <v>23</v>
      </c>
      <c r="E701" s="4">
        <v>26092</v>
      </c>
      <c r="F701" s="4" t="str">
        <f t="shared" si="49"/>
        <v>65EC</v>
      </c>
      <c r="G701" s="5" t="s">
        <v>1999</v>
      </c>
      <c r="H701" s="5" t="s">
        <v>2119</v>
      </c>
      <c r="I701" s="4" t="s">
        <v>1995</v>
      </c>
    </row>
    <row r="702" spans="2:9" ht="17.100000000000001" customHeight="1" x14ac:dyDescent="0.3">
      <c r="B702" s="19"/>
      <c r="C702" s="19"/>
      <c r="D702" s="4">
        <v>24</v>
      </c>
      <c r="E702" s="4">
        <v>26096</v>
      </c>
      <c r="F702" s="4" t="str">
        <f t="shared" si="49"/>
        <v>65F0</v>
      </c>
      <c r="G702" s="5" t="s">
        <v>2000</v>
      </c>
      <c r="H702" s="5" t="s">
        <v>2120</v>
      </c>
      <c r="I702" s="4" t="s">
        <v>1996</v>
      </c>
    </row>
    <row r="703" spans="2:9" ht="17.100000000000001" customHeight="1" x14ac:dyDescent="0.3">
      <c r="B703" s="19"/>
      <c r="C703" s="19"/>
      <c r="D703" s="4">
        <v>25</v>
      </c>
      <c r="E703" s="4">
        <v>26100</v>
      </c>
      <c r="F703" s="4" t="str">
        <f t="shared" si="49"/>
        <v>65F4</v>
      </c>
      <c r="G703" s="5" t="s">
        <v>2201</v>
      </c>
      <c r="H703" s="5" t="s">
        <v>2204</v>
      </c>
      <c r="I703" s="4" t="s">
        <v>14</v>
      </c>
    </row>
    <row r="704" spans="2:9" ht="17.100000000000001" customHeight="1" x14ac:dyDescent="0.3">
      <c r="B704" s="19"/>
      <c r="C704" s="19"/>
      <c r="D704" s="4">
        <v>26</v>
      </c>
      <c r="E704" s="4">
        <v>26104</v>
      </c>
      <c r="F704" s="4" t="str">
        <f t="shared" si="49"/>
        <v>65F8</v>
      </c>
      <c r="G704" s="5" t="s">
        <v>2202</v>
      </c>
      <c r="H704" s="5" t="s">
        <v>2203</v>
      </c>
      <c r="I704" s="4" t="s">
        <v>14</v>
      </c>
    </row>
    <row r="705" spans="2:9" ht="17.100000000000001" customHeight="1" x14ac:dyDescent="0.3">
      <c r="B705" s="19"/>
      <c r="C705" s="19"/>
      <c r="D705" s="4">
        <v>27</v>
      </c>
      <c r="E705" s="4">
        <v>26108</v>
      </c>
      <c r="F705" s="4" t="str">
        <f t="shared" si="49"/>
        <v>65FC</v>
      </c>
      <c r="G705" s="5" t="s">
        <v>2002</v>
      </c>
      <c r="H705" s="5" t="s">
        <v>2121</v>
      </c>
      <c r="I705" s="4" t="s">
        <v>4</v>
      </c>
    </row>
    <row r="706" spans="2:9" ht="17.100000000000001" customHeight="1" x14ac:dyDescent="0.3">
      <c r="B706" s="19"/>
      <c r="C706" s="19"/>
      <c r="D706" s="4">
        <v>28</v>
      </c>
      <c r="E706" s="4">
        <v>26112</v>
      </c>
      <c r="F706" s="4" t="str">
        <f t="shared" si="49"/>
        <v>6600</v>
      </c>
      <c r="G706" s="5" t="s">
        <v>2001</v>
      </c>
      <c r="H706" s="5" t="s">
        <v>2122</v>
      </c>
      <c r="I706" s="4" t="s">
        <v>4</v>
      </c>
    </row>
    <row r="707" spans="2:9" ht="17.100000000000001" customHeight="1" x14ac:dyDescent="0.3">
      <c r="B707" s="19"/>
      <c r="C707" s="19"/>
      <c r="D707" s="4">
        <v>29</v>
      </c>
      <c r="E707" s="4">
        <v>26116</v>
      </c>
      <c r="F707" s="4" t="str">
        <f t="shared" si="49"/>
        <v>6604</v>
      </c>
      <c r="G707" s="5" t="s">
        <v>2198</v>
      </c>
      <c r="H707" s="5" t="s">
        <v>2123</v>
      </c>
      <c r="I707" s="4" t="s">
        <v>4</v>
      </c>
    </row>
    <row r="708" spans="2:9" ht="17.100000000000001" customHeight="1" x14ac:dyDescent="0.3">
      <c r="B708" s="19"/>
      <c r="C708" s="19"/>
      <c r="D708" s="4">
        <v>30</v>
      </c>
      <c r="E708" s="4">
        <v>26120</v>
      </c>
      <c r="F708" s="4" t="str">
        <f t="shared" si="49"/>
        <v>6608</v>
      </c>
      <c r="G708" s="5" t="s">
        <v>2199</v>
      </c>
      <c r="H708" s="5" t="s">
        <v>2200</v>
      </c>
      <c r="I708" s="4" t="s">
        <v>2172</v>
      </c>
    </row>
    <row r="709" spans="2:9" ht="17.100000000000001" customHeight="1" x14ac:dyDescent="0.3">
      <c r="B709" s="19"/>
      <c r="C709" s="19"/>
      <c r="D709" s="4">
        <v>31</v>
      </c>
      <c r="E709" s="4">
        <v>26124</v>
      </c>
      <c r="F709" s="4" t="str">
        <f t="shared" si="49"/>
        <v>660C</v>
      </c>
      <c r="G709" s="5" t="s">
        <v>2021</v>
      </c>
      <c r="H709" s="5" t="s">
        <v>2123</v>
      </c>
      <c r="I709" s="4" t="s">
        <v>4</v>
      </c>
    </row>
    <row r="710" spans="2:9" ht="17.100000000000001" customHeight="1" x14ac:dyDescent="0.3">
      <c r="B710" s="19"/>
      <c r="C710" s="19"/>
      <c r="D710" s="4">
        <v>32</v>
      </c>
      <c r="E710" s="4">
        <v>26128</v>
      </c>
      <c r="F710" s="4" t="str">
        <f t="shared" si="49"/>
        <v>6610</v>
      </c>
      <c r="G710" s="5" t="s">
        <v>2022</v>
      </c>
      <c r="H710" s="5" t="s">
        <v>2124</v>
      </c>
      <c r="I710" s="4" t="s">
        <v>1992</v>
      </c>
    </row>
    <row r="711" spans="2:9" ht="17.100000000000001" customHeight="1" x14ac:dyDescent="0.3">
      <c r="B711" s="19"/>
      <c r="C711" s="19"/>
      <c r="D711" s="4">
        <v>33</v>
      </c>
      <c r="E711" s="4">
        <v>26132</v>
      </c>
      <c r="F711" s="4" t="str">
        <f t="shared" si="49"/>
        <v>6614</v>
      </c>
      <c r="G711" s="27" t="s">
        <v>2240</v>
      </c>
      <c r="H711" s="26" t="s">
        <v>2241</v>
      </c>
      <c r="I711" s="4" t="s">
        <v>14</v>
      </c>
    </row>
    <row r="712" spans="2:9" ht="17.100000000000001" customHeight="1" x14ac:dyDescent="0.3">
      <c r="B712" s="19"/>
      <c r="C712" s="19"/>
      <c r="D712" s="4">
        <v>34</v>
      </c>
      <c r="E712" s="4">
        <v>26136</v>
      </c>
      <c r="F712" s="4" t="str">
        <f t="shared" si="49"/>
        <v>6618</v>
      </c>
      <c r="G712" s="27" t="s">
        <v>2239</v>
      </c>
      <c r="H712" s="26" t="s">
        <v>2242</v>
      </c>
      <c r="I712" s="4" t="s">
        <v>2172</v>
      </c>
    </row>
    <row r="713" spans="2:9" ht="17.100000000000001" customHeight="1" x14ac:dyDescent="0.3">
      <c r="B713" s="19"/>
      <c r="C713" s="19"/>
      <c r="D713" s="4">
        <v>35</v>
      </c>
      <c r="E713" s="4">
        <v>26140</v>
      </c>
      <c r="F713" s="4" t="str">
        <f t="shared" si="49"/>
        <v>661C</v>
      </c>
      <c r="G713" s="27" t="s">
        <v>2023</v>
      </c>
      <c r="H713" s="5" t="s">
        <v>2125</v>
      </c>
      <c r="I713" s="4" t="s">
        <v>1990</v>
      </c>
    </row>
    <row r="714" spans="2:9" ht="17.100000000000001" customHeight="1" x14ac:dyDescent="0.3">
      <c r="B714" s="19"/>
      <c r="C714" s="19"/>
      <c r="D714" s="4">
        <v>36</v>
      </c>
      <c r="E714" s="4">
        <v>26144</v>
      </c>
      <c r="F714" s="4" t="str">
        <f t="shared" si="49"/>
        <v>6620</v>
      </c>
      <c r="G714" s="27" t="s">
        <v>2024</v>
      </c>
      <c r="H714" s="5" t="s">
        <v>2126</v>
      </c>
      <c r="I714" s="4" t="s">
        <v>1991</v>
      </c>
    </row>
    <row r="715" spans="2:9" ht="17.100000000000001" customHeight="1" x14ac:dyDescent="0.3">
      <c r="B715" s="19"/>
      <c r="C715" s="19"/>
      <c r="D715" s="4">
        <v>37</v>
      </c>
      <c r="E715" s="4">
        <v>26148</v>
      </c>
      <c r="F715" s="4" t="str">
        <f t="shared" si="49"/>
        <v>6624</v>
      </c>
      <c r="G715" s="27" t="s">
        <v>2025</v>
      </c>
      <c r="H715" s="5" t="s">
        <v>2127</v>
      </c>
      <c r="I715" s="4" t="s">
        <v>1991</v>
      </c>
    </row>
    <row r="716" spans="2:9" ht="17.100000000000001" customHeight="1" x14ac:dyDescent="0.3">
      <c r="B716" s="19"/>
      <c r="C716" s="19"/>
      <c r="D716" s="4">
        <v>38</v>
      </c>
      <c r="E716" s="4">
        <v>26152</v>
      </c>
      <c r="F716" s="4" t="str">
        <f t="shared" si="49"/>
        <v>6628</v>
      </c>
      <c r="G716" s="27" t="s">
        <v>2026</v>
      </c>
      <c r="H716" s="5" t="s">
        <v>2128</v>
      </c>
      <c r="I716" s="4" t="s">
        <v>1991</v>
      </c>
    </row>
    <row r="717" spans="2:9" ht="17.100000000000001" customHeight="1" x14ac:dyDescent="0.3">
      <c r="B717" s="19"/>
      <c r="C717" s="19"/>
      <c r="D717" s="4">
        <v>39</v>
      </c>
      <c r="E717" s="4">
        <v>26156</v>
      </c>
      <c r="F717" s="4" t="str">
        <f t="shared" si="49"/>
        <v>662C</v>
      </c>
      <c r="G717" s="27" t="s">
        <v>2244</v>
      </c>
      <c r="H717" s="5" t="s">
        <v>2243</v>
      </c>
      <c r="I717" s="4" t="s">
        <v>4</v>
      </c>
    </row>
    <row r="718" spans="2:9" ht="17.100000000000001" customHeight="1" x14ac:dyDescent="0.3">
      <c r="B718" s="19"/>
      <c r="C718" s="19"/>
      <c r="D718" s="4">
        <v>40</v>
      </c>
      <c r="E718" s="4">
        <v>26160</v>
      </c>
      <c r="F718" s="4" t="str">
        <f t="shared" si="49"/>
        <v>6630</v>
      </c>
      <c r="G718" s="27" t="s">
        <v>2027</v>
      </c>
      <c r="H718" s="5" t="s">
        <v>2125</v>
      </c>
      <c r="I718" s="4" t="s">
        <v>1990</v>
      </c>
    </row>
    <row r="719" spans="2:9" ht="17.100000000000001" customHeight="1" x14ac:dyDescent="0.3">
      <c r="B719" s="19"/>
      <c r="C719" s="19"/>
      <c r="D719" s="4">
        <v>41</v>
      </c>
      <c r="E719" s="4">
        <v>26164</v>
      </c>
      <c r="F719" s="4" t="str">
        <f t="shared" si="49"/>
        <v>6634</v>
      </c>
      <c r="G719" s="27" t="s">
        <v>2028</v>
      </c>
      <c r="H719" s="5" t="s">
        <v>2126</v>
      </c>
      <c r="I719" s="4" t="s">
        <v>1991</v>
      </c>
    </row>
    <row r="720" spans="2:9" ht="17.100000000000001" customHeight="1" x14ac:dyDescent="0.3">
      <c r="B720" s="19"/>
      <c r="C720" s="19"/>
      <c r="D720" s="4">
        <v>42</v>
      </c>
      <c r="E720" s="4">
        <v>26168</v>
      </c>
      <c r="F720" s="4" t="str">
        <f t="shared" si="49"/>
        <v>6638</v>
      </c>
      <c r="G720" s="27" t="s">
        <v>2029</v>
      </c>
      <c r="H720" s="5" t="s">
        <v>2127</v>
      </c>
      <c r="I720" s="4" t="s">
        <v>1991</v>
      </c>
    </row>
    <row r="721" spans="2:9" ht="17.100000000000001" customHeight="1" x14ac:dyDescent="0.3">
      <c r="B721" s="19"/>
      <c r="C721" s="19"/>
      <c r="D721" s="4">
        <v>43</v>
      </c>
      <c r="E721" s="4">
        <v>26172</v>
      </c>
      <c r="F721" s="4" t="str">
        <f t="shared" si="49"/>
        <v>663C</v>
      </c>
      <c r="G721" s="27" t="s">
        <v>2030</v>
      </c>
      <c r="H721" s="5" t="s">
        <v>2128</v>
      </c>
      <c r="I721" s="4" t="s">
        <v>1991</v>
      </c>
    </row>
    <row r="722" spans="2:9" ht="17.100000000000001" customHeight="1" x14ac:dyDescent="0.3">
      <c r="B722" s="19"/>
      <c r="C722" s="19"/>
      <c r="D722" s="4">
        <v>44</v>
      </c>
      <c r="E722" s="4">
        <v>26176</v>
      </c>
      <c r="F722" s="4" t="str">
        <f t="shared" si="49"/>
        <v>6640</v>
      </c>
      <c r="G722" s="27" t="s">
        <v>2245</v>
      </c>
      <c r="H722" s="5" t="s">
        <v>2129</v>
      </c>
      <c r="I722" s="4" t="s">
        <v>4</v>
      </c>
    </row>
    <row r="723" spans="2:9" ht="17.100000000000001" customHeight="1" x14ac:dyDescent="0.3">
      <c r="B723" s="19"/>
      <c r="C723" s="19"/>
      <c r="D723" s="4">
        <v>45</v>
      </c>
      <c r="E723" s="4">
        <v>26180</v>
      </c>
      <c r="F723" s="4" t="str">
        <f t="shared" si="49"/>
        <v>6644</v>
      </c>
      <c r="G723" s="6" t="str">
        <f t="shared" ref="G723:G724" si="50">"pUmem_Cmd_TBD_"&amp;F723</f>
        <v>pUmem_Cmd_TBD_6644</v>
      </c>
      <c r="H723" s="6"/>
      <c r="I723" s="7"/>
    </row>
    <row r="724" spans="2:9" ht="17.100000000000001" customHeight="1" x14ac:dyDescent="0.3">
      <c r="B724" s="19"/>
      <c r="C724" s="19"/>
      <c r="D724" s="4">
        <v>46</v>
      </c>
      <c r="E724" s="4">
        <v>26184</v>
      </c>
      <c r="F724" s="4" t="str">
        <f t="shared" si="49"/>
        <v>6648</v>
      </c>
      <c r="G724" s="6" t="str">
        <f t="shared" si="50"/>
        <v>pUmem_Cmd_TBD_6648</v>
      </c>
      <c r="H724" s="6"/>
      <c r="I724" s="7"/>
    </row>
    <row r="725" spans="2:9" ht="17.100000000000001" customHeight="1" x14ac:dyDescent="0.3">
      <c r="B725" s="19"/>
      <c r="C725" s="19"/>
      <c r="D725" s="4">
        <v>47</v>
      </c>
      <c r="E725" s="4">
        <v>26188</v>
      </c>
      <c r="F725" s="4" t="str">
        <f t="shared" si="49"/>
        <v>664C</v>
      </c>
      <c r="G725" s="5" t="s">
        <v>2031</v>
      </c>
      <c r="H725" s="5" t="s">
        <v>2130</v>
      </c>
      <c r="I725" s="4" t="s">
        <v>4</v>
      </c>
    </row>
    <row r="726" spans="2:9" ht="17.100000000000001" customHeight="1" x14ac:dyDescent="0.3">
      <c r="B726" s="19"/>
      <c r="C726" s="19"/>
      <c r="D726" s="4">
        <v>48</v>
      </c>
      <c r="E726" s="4">
        <v>26192</v>
      </c>
      <c r="F726" s="4" t="str">
        <f t="shared" si="49"/>
        <v>6650</v>
      </c>
      <c r="G726" s="5" t="s">
        <v>2032</v>
      </c>
      <c r="H726" s="5" t="s">
        <v>2131</v>
      </c>
      <c r="I726" s="4" t="s">
        <v>14</v>
      </c>
    </row>
    <row r="727" spans="2:9" ht="17.100000000000001" customHeight="1" x14ac:dyDescent="0.3">
      <c r="B727" s="19"/>
      <c r="C727" s="19"/>
      <c r="D727" s="4">
        <v>49</v>
      </c>
      <c r="E727" s="4">
        <v>26196</v>
      </c>
      <c r="F727" s="4" t="str">
        <f t="shared" si="49"/>
        <v>6654</v>
      </c>
      <c r="G727" s="5" t="s">
        <v>2040</v>
      </c>
      <c r="H727" s="5" t="s">
        <v>2132</v>
      </c>
      <c r="I727" s="4" t="s">
        <v>14</v>
      </c>
    </row>
    <row r="728" spans="2:9" ht="17.100000000000001" customHeight="1" x14ac:dyDescent="0.3">
      <c r="B728" s="19"/>
      <c r="C728" s="19"/>
      <c r="D728" s="4">
        <v>50</v>
      </c>
      <c r="E728" s="4">
        <v>26200</v>
      </c>
      <c r="F728" s="4" t="str">
        <f t="shared" ref="F728:F737" si="51">DEC2HEX(E728)</f>
        <v>6658</v>
      </c>
      <c r="G728" s="5" t="s">
        <v>2033</v>
      </c>
      <c r="H728" s="5" t="s">
        <v>2133</v>
      </c>
      <c r="I728" s="4" t="s">
        <v>1997</v>
      </c>
    </row>
    <row r="729" spans="2:9" ht="17.100000000000001" customHeight="1" x14ac:dyDescent="0.3">
      <c r="B729" s="19"/>
      <c r="C729" s="19"/>
      <c r="D729" s="4">
        <v>51</v>
      </c>
      <c r="E729" s="4">
        <v>26204</v>
      </c>
      <c r="F729" s="4" t="str">
        <f t="shared" si="51"/>
        <v>665C</v>
      </c>
      <c r="G729" s="5" t="s">
        <v>2038</v>
      </c>
      <c r="H729" s="5" t="s">
        <v>2134</v>
      </c>
      <c r="I729" s="4" t="s">
        <v>1989</v>
      </c>
    </row>
    <row r="730" spans="2:9" ht="17.100000000000001" customHeight="1" x14ac:dyDescent="0.3">
      <c r="B730" s="19"/>
      <c r="C730" s="19"/>
      <c r="D730" s="4">
        <v>52</v>
      </c>
      <c r="E730" s="4">
        <v>26208</v>
      </c>
      <c r="F730" s="4" t="str">
        <f t="shared" si="51"/>
        <v>6660</v>
      </c>
      <c r="G730" s="5" t="s">
        <v>2039</v>
      </c>
      <c r="H730" s="5" t="s">
        <v>2135</v>
      </c>
      <c r="I730" s="4" t="s">
        <v>1989</v>
      </c>
    </row>
    <row r="731" spans="2:9" ht="17.100000000000001" customHeight="1" x14ac:dyDescent="0.3">
      <c r="B731" s="19"/>
      <c r="C731" s="19"/>
      <c r="D731" s="4">
        <v>53</v>
      </c>
      <c r="E731" s="4">
        <v>26212</v>
      </c>
      <c r="F731" s="4" t="str">
        <f t="shared" si="51"/>
        <v>6664</v>
      </c>
      <c r="G731" s="5" t="s">
        <v>2036</v>
      </c>
      <c r="H731" s="5" t="s">
        <v>2136</v>
      </c>
      <c r="I731" s="4" t="s">
        <v>14</v>
      </c>
    </row>
    <row r="732" spans="2:9" ht="17.100000000000001" customHeight="1" x14ac:dyDescent="0.3">
      <c r="B732" s="19"/>
      <c r="C732" s="19"/>
      <c r="D732" s="4">
        <v>54</v>
      </c>
      <c r="E732" s="4">
        <v>26216</v>
      </c>
      <c r="F732" s="4" t="str">
        <f t="shared" si="51"/>
        <v>6668</v>
      </c>
      <c r="G732" s="5" t="s">
        <v>2037</v>
      </c>
      <c r="H732" s="5" t="s">
        <v>2137</v>
      </c>
      <c r="I732" s="4" t="s">
        <v>14</v>
      </c>
    </row>
    <row r="733" spans="2:9" ht="17.100000000000001" customHeight="1" x14ac:dyDescent="0.3">
      <c r="B733" s="19"/>
      <c r="C733" s="19"/>
      <c r="D733" s="4">
        <v>55</v>
      </c>
      <c r="E733" s="4">
        <v>26220</v>
      </c>
      <c r="F733" s="4" t="str">
        <f t="shared" si="51"/>
        <v>666C</v>
      </c>
      <c r="G733" s="6" t="str">
        <f t="shared" ref="G733:G737" si="52">"pUmem_Cmd_TBD_"&amp;F733</f>
        <v>pUmem_Cmd_TBD_666C</v>
      </c>
      <c r="H733" s="6"/>
      <c r="I733" s="7"/>
    </row>
    <row r="734" spans="2:9" ht="17.100000000000001" customHeight="1" x14ac:dyDescent="0.3">
      <c r="B734" s="19"/>
      <c r="C734" s="19"/>
      <c r="D734" s="4">
        <v>56</v>
      </c>
      <c r="E734" s="4">
        <v>26224</v>
      </c>
      <c r="F734" s="4" t="str">
        <f t="shared" si="51"/>
        <v>6670</v>
      </c>
      <c r="G734" s="6" t="str">
        <f t="shared" si="52"/>
        <v>pUmem_Cmd_TBD_6670</v>
      </c>
      <c r="H734" s="6"/>
      <c r="I734" s="7"/>
    </row>
    <row r="735" spans="2:9" ht="17.100000000000001" customHeight="1" x14ac:dyDescent="0.3">
      <c r="B735" s="19"/>
      <c r="C735" s="19"/>
      <c r="D735" s="4">
        <v>57</v>
      </c>
      <c r="E735" s="4">
        <v>26228</v>
      </c>
      <c r="F735" s="4" t="str">
        <f t="shared" si="51"/>
        <v>6674</v>
      </c>
      <c r="G735" s="6" t="str">
        <f t="shared" si="52"/>
        <v>pUmem_Cmd_TBD_6674</v>
      </c>
      <c r="H735" s="6"/>
      <c r="I735" s="7"/>
    </row>
    <row r="736" spans="2:9" ht="17.100000000000001" customHeight="1" x14ac:dyDescent="0.3">
      <c r="B736" s="19"/>
      <c r="C736" s="19"/>
      <c r="D736" s="4">
        <v>58</v>
      </c>
      <c r="E736" s="4">
        <v>26232</v>
      </c>
      <c r="F736" s="4" t="str">
        <f t="shared" si="51"/>
        <v>6678</v>
      </c>
      <c r="G736" s="6" t="str">
        <f t="shared" si="52"/>
        <v>pUmem_Cmd_TBD_6678</v>
      </c>
      <c r="H736" s="6"/>
      <c r="I736" s="7"/>
    </row>
    <row r="737" spans="2:9" ht="17.100000000000001" customHeight="1" x14ac:dyDescent="0.3">
      <c r="B737" s="19"/>
      <c r="C737" s="19"/>
      <c r="D737" s="4">
        <v>59</v>
      </c>
      <c r="E737" s="4">
        <v>26236</v>
      </c>
      <c r="F737" s="4" t="str">
        <f t="shared" si="51"/>
        <v>667C</v>
      </c>
      <c r="G737" s="6" t="str">
        <f t="shared" si="52"/>
        <v>pUmem_Cmd_TBD_667C</v>
      </c>
      <c r="H737" s="6"/>
      <c r="I737" s="7"/>
    </row>
    <row r="739" spans="2:9" ht="17.100000000000001" customHeight="1" x14ac:dyDescent="0.3">
      <c r="B739" s="19" t="s">
        <v>2164</v>
      </c>
      <c r="C739" s="19"/>
      <c r="D739" s="4">
        <v>0</v>
      </c>
      <c r="E739" s="4">
        <v>27000</v>
      </c>
      <c r="F739" s="4" t="str">
        <f t="shared" ref="F739:F798" si="53">DEC2HEX(E739)</f>
        <v>6978</v>
      </c>
      <c r="G739" s="5" t="s">
        <v>2045</v>
      </c>
      <c r="H739" s="5" t="s">
        <v>2138</v>
      </c>
      <c r="I739" s="4" t="s">
        <v>4</v>
      </c>
    </row>
    <row r="740" spans="2:9" ht="17.100000000000001" customHeight="1" x14ac:dyDescent="0.3">
      <c r="B740" s="19"/>
      <c r="C740" s="19"/>
      <c r="D740" s="4">
        <v>1</v>
      </c>
      <c r="E740" s="4">
        <v>27004</v>
      </c>
      <c r="F740" s="4" t="str">
        <f t="shared" si="53"/>
        <v>697C</v>
      </c>
      <c r="G740" s="5" t="s">
        <v>2046</v>
      </c>
      <c r="H740" s="5" t="s">
        <v>2139</v>
      </c>
      <c r="I740" s="4" t="s">
        <v>4</v>
      </c>
    </row>
    <row r="741" spans="2:9" ht="17.100000000000001" customHeight="1" x14ac:dyDescent="0.3">
      <c r="B741" s="19"/>
      <c r="C741" s="19"/>
      <c r="D741" s="4">
        <v>2</v>
      </c>
      <c r="E741" s="4">
        <v>27008</v>
      </c>
      <c r="F741" s="4" t="str">
        <f t="shared" si="53"/>
        <v>6980</v>
      </c>
      <c r="G741" s="5" t="s">
        <v>2047</v>
      </c>
      <c r="H741" s="5" t="s">
        <v>2140</v>
      </c>
      <c r="I741" s="4" t="s">
        <v>4</v>
      </c>
    </row>
    <row r="742" spans="2:9" ht="17.100000000000001" customHeight="1" x14ac:dyDescent="0.3">
      <c r="B742" s="19"/>
      <c r="C742" s="19"/>
      <c r="D742" s="4">
        <v>3</v>
      </c>
      <c r="E742" s="4">
        <v>27012</v>
      </c>
      <c r="F742" s="4" t="str">
        <f t="shared" si="53"/>
        <v>6984</v>
      </c>
      <c r="G742" s="5" t="s">
        <v>2048</v>
      </c>
      <c r="H742" s="5" t="s">
        <v>2099</v>
      </c>
      <c r="I742" s="4" t="s">
        <v>4</v>
      </c>
    </row>
    <row r="743" spans="2:9" ht="17.100000000000001" customHeight="1" x14ac:dyDescent="0.3">
      <c r="B743" s="19"/>
      <c r="C743" s="19"/>
      <c r="D743" s="4">
        <v>4</v>
      </c>
      <c r="E743" s="4">
        <v>27016</v>
      </c>
      <c r="F743" s="4" t="str">
        <f t="shared" si="53"/>
        <v>6988</v>
      </c>
      <c r="G743" s="5" t="s">
        <v>2049</v>
      </c>
      <c r="H743" s="5" t="s">
        <v>2100</v>
      </c>
      <c r="I743" s="4" t="s">
        <v>4</v>
      </c>
    </row>
    <row r="744" spans="2:9" ht="17.100000000000001" customHeight="1" x14ac:dyDescent="0.3">
      <c r="B744" s="19"/>
      <c r="C744" s="19"/>
      <c r="D744" s="4">
        <v>5</v>
      </c>
      <c r="E744" s="4">
        <v>27020</v>
      </c>
      <c r="F744" s="4" t="str">
        <f t="shared" si="53"/>
        <v>698C</v>
      </c>
      <c r="G744" s="5" t="s">
        <v>2050</v>
      </c>
      <c r="H744" s="5" t="s">
        <v>2101</v>
      </c>
      <c r="I744" s="4" t="s">
        <v>4</v>
      </c>
    </row>
    <row r="745" spans="2:9" ht="17.100000000000001" customHeight="1" x14ac:dyDescent="0.3">
      <c r="B745" s="19"/>
      <c r="C745" s="19"/>
      <c r="D745" s="4">
        <v>6</v>
      </c>
      <c r="E745" s="4">
        <v>27024</v>
      </c>
      <c r="F745" s="4" t="str">
        <f t="shared" si="53"/>
        <v>6990</v>
      </c>
      <c r="G745" s="5" t="s">
        <v>2051</v>
      </c>
      <c r="H745" s="5" t="s">
        <v>2102</v>
      </c>
      <c r="I745" s="4" t="s">
        <v>4</v>
      </c>
    </row>
    <row r="746" spans="2:9" ht="17.100000000000001" customHeight="1" x14ac:dyDescent="0.3">
      <c r="B746" s="19"/>
      <c r="C746" s="19"/>
      <c r="D746" s="4">
        <v>7</v>
      </c>
      <c r="E746" s="4">
        <v>27028</v>
      </c>
      <c r="F746" s="4" t="str">
        <f t="shared" si="53"/>
        <v>6994</v>
      </c>
      <c r="G746" s="5" t="s">
        <v>2192</v>
      </c>
      <c r="H746" s="5" t="s">
        <v>2103</v>
      </c>
      <c r="I746" s="4" t="s">
        <v>14</v>
      </c>
    </row>
    <row r="747" spans="2:9" ht="17.100000000000001" customHeight="1" x14ac:dyDescent="0.3">
      <c r="B747" s="19"/>
      <c r="C747" s="19"/>
      <c r="D747" s="4">
        <v>8</v>
      </c>
      <c r="E747" s="4">
        <v>27032</v>
      </c>
      <c r="F747" s="4" t="str">
        <f t="shared" si="53"/>
        <v>6998</v>
      </c>
      <c r="G747" s="5" t="s">
        <v>2052</v>
      </c>
      <c r="H747" s="5" t="s">
        <v>2104</v>
      </c>
      <c r="I747" s="4" t="s">
        <v>14</v>
      </c>
    </row>
    <row r="748" spans="2:9" ht="17.100000000000001" customHeight="1" x14ac:dyDescent="0.3">
      <c r="B748" s="19"/>
      <c r="C748" s="19"/>
      <c r="D748" s="4">
        <v>9</v>
      </c>
      <c r="E748" s="4">
        <v>27036</v>
      </c>
      <c r="F748" s="4" t="str">
        <f t="shared" si="53"/>
        <v>699C</v>
      </c>
      <c r="G748" s="5" t="s">
        <v>2053</v>
      </c>
      <c r="H748" s="5" t="s">
        <v>2105</v>
      </c>
      <c r="I748" s="4" t="s">
        <v>14</v>
      </c>
    </row>
    <row r="749" spans="2:9" ht="17.100000000000001" customHeight="1" x14ac:dyDescent="0.3">
      <c r="B749" s="19"/>
      <c r="C749" s="19"/>
      <c r="D749" s="4">
        <v>10</v>
      </c>
      <c r="E749" s="4">
        <v>27040</v>
      </c>
      <c r="F749" s="4" t="str">
        <f t="shared" si="53"/>
        <v>69A0</v>
      </c>
      <c r="G749" s="5" t="s">
        <v>2054</v>
      </c>
      <c r="H749" s="5" t="s">
        <v>2106</v>
      </c>
      <c r="I749" s="4" t="s">
        <v>14</v>
      </c>
    </row>
    <row r="750" spans="2:9" ht="17.100000000000001" customHeight="1" x14ac:dyDescent="0.3">
      <c r="B750" s="19"/>
      <c r="C750" s="19"/>
      <c r="D750" s="4">
        <v>11</v>
      </c>
      <c r="E750" s="4">
        <v>27044</v>
      </c>
      <c r="F750" s="4" t="str">
        <f t="shared" si="53"/>
        <v>69A4</v>
      </c>
      <c r="G750" s="5" t="s">
        <v>2055</v>
      </c>
      <c r="H750" s="5" t="s">
        <v>2107</v>
      </c>
      <c r="I750" s="4" t="s">
        <v>14</v>
      </c>
    </row>
    <row r="751" spans="2:9" ht="17.100000000000001" customHeight="1" x14ac:dyDescent="0.3">
      <c r="B751" s="19"/>
      <c r="C751" s="19"/>
      <c r="D751" s="4">
        <v>12</v>
      </c>
      <c r="E751" s="4">
        <v>27048</v>
      </c>
      <c r="F751" s="4" t="str">
        <f t="shared" si="53"/>
        <v>69A8</v>
      </c>
      <c r="G751" s="5" t="s">
        <v>2056</v>
      </c>
      <c r="H751" s="5" t="s">
        <v>2108</v>
      </c>
      <c r="I751" s="4" t="s">
        <v>14</v>
      </c>
    </row>
    <row r="752" spans="2:9" ht="17.100000000000001" customHeight="1" x14ac:dyDescent="0.3">
      <c r="B752" s="19"/>
      <c r="C752" s="19"/>
      <c r="D752" s="4">
        <v>13</v>
      </c>
      <c r="E752" s="4">
        <v>27052</v>
      </c>
      <c r="F752" s="4" t="str">
        <f t="shared" si="53"/>
        <v>69AC</v>
      </c>
      <c r="G752" s="5" t="s">
        <v>2057</v>
      </c>
      <c r="H752" s="5" t="s">
        <v>2109</v>
      </c>
      <c r="I752" s="4" t="s">
        <v>15</v>
      </c>
    </row>
    <row r="753" spans="2:9" ht="17.100000000000001" customHeight="1" x14ac:dyDescent="0.3">
      <c r="B753" s="19"/>
      <c r="C753" s="19"/>
      <c r="D753" s="4">
        <v>14</v>
      </c>
      <c r="E753" s="4">
        <v>27056</v>
      </c>
      <c r="F753" s="4" t="str">
        <f t="shared" si="53"/>
        <v>69B0</v>
      </c>
      <c r="G753" s="5" t="s">
        <v>2058</v>
      </c>
      <c r="H753" s="5" t="s">
        <v>2110</v>
      </c>
      <c r="I753" s="4" t="s">
        <v>15</v>
      </c>
    </row>
    <row r="754" spans="2:9" ht="17.100000000000001" customHeight="1" x14ac:dyDescent="0.3">
      <c r="B754" s="19"/>
      <c r="C754" s="19"/>
      <c r="D754" s="4">
        <v>15</v>
      </c>
      <c r="E754" s="4">
        <v>27060</v>
      </c>
      <c r="F754" s="4" t="str">
        <f t="shared" si="53"/>
        <v>69B4</v>
      </c>
      <c r="G754" s="5" t="s">
        <v>2059</v>
      </c>
      <c r="H754" s="5" t="s">
        <v>2111</v>
      </c>
      <c r="I754" s="4" t="s">
        <v>15</v>
      </c>
    </row>
    <row r="755" spans="2:9" ht="17.100000000000001" customHeight="1" x14ac:dyDescent="0.3">
      <c r="B755" s="19"/>
      <c r="C755" s="19"/>
      <c r="D755" s="4">
        <v>16</v>
      </c>
      <c r="E755" s="4">
        <v>27064</v>
      </c>
      <c r="F755" s="4" t="str">
        <f t="shared" si="53"/>
        <v>69B8</v>
      </c>
      <c r="G755" s="5" t="s">
        <v>2060</v>
      </c>
      <c r="H755" s="5" t="s">
        <v>2112</v>
      </c>
      <c r="I755" s="4" t="s">
        <v>4</v>
      </c>
    </row>
    <row r="756" spans="2:9" ht="17.100000000000001" customHeight="1" x14ac:dyDescent="0.3">
      <c r="B756" s="19"/>
      <c r="C756" s="19"/>
      <c r="D756" s="4">
        <v>17</v>
      </c>
      <c r="E756" s="4">
        <v>27068</v>
      </c>
      <c r="F756" s="4" t="str">
        <f t="shared" si="53"/>
        <v>69BC</v>
      </c>
      <c r="G756" s="5" t="s">
        <v>2061</v>
      </c>
      <c r="H756" s="5" t="s">
        <v>2113</v>
      </c>
      <c r="I756" s="4" t="s">
        <v>4</v>
      </c>
    </row>
    <row r="757" spans="2:9" ht="17.100000000000001" customHeight="1" x14ac:dyDescent="0.3">
      <c r="B757" s="19"/>
      <c r="C757" s="19"/>
      <c r="D757" s="4">
        <v>18</v>
      </c>
      <c r="E757" s="4">
        <v>27072</v>
      </c>
      <c r="F757" s="4" t="str">
        <f t="shared" si="53"/>
        <v>69C0</v>
      </c>
      <c r="G757" s="5" t="s">
        <v>2062</v>
      </c>
      <c r="H757" s="5" t="s">
        <v>2114</v>
      </c>
      <c r="I757" s="4" t="s">
        <v>14</v>
      </c>
    </row>
    <row r="758" spans="2:9" ht="17.100000000000001" customHeight="1" x14ac:dyDescent="0.3">
      <c r="B758" s="19"/>
      <c r="C758" s="19"/>
      <c r="D758" s="4">
        <v>19</v>
      </c>
      <c r="E758" s="4">
        <v>27076</v>
      </c>
      <c r="F758" s="4" t="str">
        <f t="shared" si="53"/>
        <v>69C4</v>
      </c>
      <c r="G758" s="5" t="s">
        <v>2063</v>
      </c>
      <c r="H758" s="5" t="s">
        <v>2115</v>
      </c>
      <c r="I758" s="4" t="s">
        <v>14</v>
      </c>
    </row>
    <row r="759" spans="2:9" ht="17.100000000000001" customHeight="1" x14ac:dyDescent="0.3">
      <c r="B759" s="19"/>
      <c r="C759" s="19"/>
      <c r="D759" s="4">
        <v>20</v>
      </c>
      <c r="E759" s="4">
        <v>27080</v>
      </c>
      <c r="F759" s="4" t="str">
        <f t="shared" si="53"/>
        <v>69C8</v>
      </c>
      <c r="G759" s="5" t="s">
        <v>2064</v>
      </c>
      <c r="H759" s="5" t="s">
        <v>2116</v>
      </c>
      <c r="I759" s="4" t="s">
        <v>1993</v>
      </c>
    </row>
    <row r="760" spans="2:9" ht="17.100000000000001" customHeight="1" x14ac:dyDescent="0.3">
      <c r="B760" s="19"/>
      <c r="C760" s="19"/>
      <c r="D760" s="4">
        <v>21</v>
      </c>
      <c r="E760" s="4">
        <v>27084</v>
      </c>
      <c r="F760" s="4" t="str">
        <f t="shared" si="53"/>
        <v>69CC</v>
      </c>
      <c r="G760" s="5" t="s">
        <v>2065</v>
      </c>
      <c r="H760" s="5" t="s">
        <v>2117</v>
      </c>
      <c r="I760" s="4" t="s">
        <v>1994</v>
      </c>
    </row>
    <row r="761" spans="2:9" ht="17.100000000000001" customHeight="1" x14ac:dyDescent="0.3">
      <c r="B761" s="19"/>
      <c r="C761" s="19"/>
      <c r="D761" s="4">
        <v>22</v>
      </c>
      <c r="E761" s="4">
        <v>27088</v>
      </c>
      <c r="F761" s="4" t="str">
        <f t="shared" si="53"/>
        <v>69D0</v>
      </c>
      <c r="G761" s="5" t="s">
        <v>2066</v>
      </c>
      <c r="H761" s="5" t="s">
        <v>2118</v>
      </c>
      <c r="I761" s="4" t="s">
        <v>1994</v>
      </c>
    </row>
    <row r="762" spans="2:9" ht="17.100000000000001" customHeight="1" x14ac:dyDescent="0.3">
      <c r="B762" s="19"/>
      <c r="C762" s="19"/>
      <c r="D762" s="4">
        <v>23</v>
      </c>
      <c r="E762" s="4">
        <v>27092</v>
      </c>
      <c r="F762" s="4" t="str">
        <f t="shared" si="53"/>
        <v>69D4</v>
      </c>
      <c r="G762" s="5" t="s">
        <v>2067</v>
      </c>
      <c r="H762" s="5" t="s">
        <v>2119</v>
      </c>
      <c r="I762" s="4" t="s">
        <v>1995</v>
      </c>
    </row>
    <row r="763" spans="2:9" ht="17.100000000000001" customHeight="1" x14ac:dyDescent="0.3">
      <c r="B763" s="19"/>
      <c r="C763" s="19"/>
      <c r="D763" s="4">
        <v>24</v>
      </c>
      <c r="E763" s="4">
        <v>27096</v>
      </c>
      <c r="F763" s="4" t="str">
        <f t="shared" si="53"/>
        <v>69D8</v>
      </c>
      <c r="G763" s="5" t="s">
        <v>2068</v>
      </c>
      <c r="H763" s="5" t="s">
        <v>2120</v>
      </c>
      <c r="I763" s="4" t="s">
        <v>1996</v>
      </c>
    </row>
    <row r="764" spans="2:9" ht="17.100000000000001" customHeight="1" x14ac:dyDescent="0.3">
      <c r="B764" s="19"/>
      <c r="C764" s="19"/>
      <c r="D764" s="4">
        <v>25</v>
      </c>
      <c r="E764" s="4">
        <v>27100</v>
      </c>
      <c r="F764" s="4" t="str">
        <f t="shared" si="53"/>
        <v>69DC</v>
      </c>
      <c r="G764" s="5" t="s">
        <v>2205</v>
      </c>
      <c r="H764" s="5" t="s">
        <v>2204</v>
      </c>
      <c r="I764" s="4" t="s">
        <v>14</v>
      </c>
    </row>
    <row r="765" spans="2:9" ht="17.100000000000001" customHeight="1" x14ac:dyDescent="0.3">
      <c r="B765" s="19"/>
      <c r="C765" s="19"/>
      <c r="D765" s="4">
        <v>26</v>
      </c>
      <c r="E765" s="4">
        <v>27104</v>
      </c>
      <c r="F765" s="4" t="str">
        <f t="shared" si="53"/>
        <v>69E0</v>
      </c>
      <c r="G765" s="5" t="s">
        <v>2206</v>
      </c>
      <c r="H765" s="5" t="s">
        <v>2203</v>
      </c>
      <c r="I765" s="4" t="s">
        <v>14</v>
      </c>
    </row>
    <row r="766" spans="2:9" ht="17.100000000000001" customHeight="1" x14ac:dyDescent="0.3">
      <c r="B766" s="19"/>
      <c r="C766" s="19"/>
      <c r="D766" s="4">
        <v>27</v>
      </c>
      <c r="E766" s="4">
        <v>27108</v>
      </c>
      <c r="F766" s="4" t="str">
        <f t="shared" si="53"/>
        <v>69E4</v>
      </c>
      <c r="G766" s="5" t="s">
        <v>2069</v>
      </c>
      <c r="H766" s="5" t="s">
        <v>2121</v>
      </c>
      <c r="I766" s="4" t="s">
        <v>4</v>
      </c>
    </row>
    <row r="767" spans="2:9" ht="17.100000000000001" customHeight="1" x14ac:dyDescent="0.3">
      <c r="B767" s="19"/>
      <c r="C767" s="19"/>
      <c r="D767" s="4">
        <v>28</v>
      </c>
      <c r="E767" s="4">
        <v>27112</v>
      </c>
      <c r="F767" s="4" t="str">
        <f t="shared" si="53"/>
        <v>69E8</v>
      </c>
      <c r="G767" s="5" t="s">
        <v>2070</v>
      </c>
      <c r="H767" s="5" t="s">
        <v>2122</v>
      </c>
      <c r="I767" s="4" t="s">
        <v>4</v>
      </c>
    </row>
    <row r="768" spans="2:9" ht="17.100000000000001" customHeight="1" x14ac:dyDescent="0.3">
      <c r="B768" s="19"/>
      <c r="C768" s="19"/>
      <c r="D768" s="4">
        <v>29</v>
      </c>
      <c r="E768" s="4">
        <v>27116</v>
      </c>
      <c r="F768" s="4" t="str">
        <f t="shared" si="53"/>
        <v>69EC</v>
      </c>
      <c r="G768" s="5" t="s">
        <v>2194</v>
      </c>
      <c r="H768" s="5" t="s">
        <v>2196</v>
      </c>
      <c r="I768" s="4" t="s">
        <v>4</v>
      </c>
    </row>
    <row r="769" spans="2:9" ht="17.100000000000001" customHeight="1" x14ac:dyDescent="0.3">
      <c r="B769" s="19"/>
      <c r="C769" s="19"/>
      <c r="D769" s="4">
        <v>30</v>
      </c>
      <c r="E769" s="4">
        <v>27120</v>
      </c>
      <c r="F769" s="4" t="str">
        <f t="shared" si="53"/>
        <v>69F0</v>
      </c>
      <c r="G769" s="5" t="s">
        <v>2195</v>
      </c>
      <c r="H769" s="5" t="s">
        <v>2197</v>
      </c>
      <c r="I769" s="4" t="s">
        <v>2172</v>
      </c>
    </row>
    <row r="770" spans="2:9" ht="17.100000000000001" customHeight="1" x14ac:dyDescent="0.3">
      <c r="B770" s="19"/>
      <c r="C770" s="19"/>
      <c r="D770" s="4">
        <v>31</v>
      </c>
      <c r="E770" s="4">
        <v>27124</v>
      </c>
      <c r="F770" s="4" t="str">
        <f t="shared" si="53"/>
        <v>69F4</v>
      </c>
      <c r="G770" s="5" t="s">
        <v>2193</v>
      </c>
      <c r="H770" s="5" t="s">
        <v>2141</v>
      </c>
      <c r="I770" s="4" t="s">
        <v>14</v>
      </c>
    </row>
    <row r="771" spans="2:9" ht="17.100000000000001" customHeight="1" x14ac:dyDescent="0.3">
      <c r="B771" s="19"/>
      <c r="C771" s="19"/>
      <c r="D771" s="4">
        <v>32</v>
      </c>
      <c r="E771" s="4">
        <v>27128</v>
      </c>
      <c r="F771" s="4" t="str">
        <f t="shared" si="53"/>
        <v>69F8</v>
      </c>
      <c r="G771" s="5" t="s">
        <v>2071</v>
      </c>
      <c r="H771" s="5" t="s">
        <v>2141</v>
      </c>
      <c r="I771" s="4" t="s">
        <v>14</v>
      </c>
    </row>
    <row r="772" spans="2:9" ht="17.100000000000001" customHeight="1" x14ac:dyDescent="0.3">
      <c r="B772" s="19"/>
      <c r="C772" s="19"/>
      <c r="D772" s="4">
        <v>33</v>
      </c>
      <c r="E772" s="4">
        <v>27132</v>
      </c>
      <c r="F772" s="4" t="str">
        <f t="shared" si="53"/>
        <v>69FC</v>
      </c>
      <c r="G772" s="5" t="s">
        <v>2072</v>
      </c>
      <c r="H772" s="5" t="s">
        <v>2142</v>
      </c>
      <c r="I772" s="4" t="s">
        <v>14</v>
      </c>
    </row>
    <row r="773" spans="2:9" ht="17.100000000000001" customHeight="1" x14ac:dyDescent="0.3">
      <c r="B773" s="19"/>
      <c r="C773" s="19"/>
      <c r="D773" s="4">
        <v>34</v>
      </c>
      <c r="E773" s="4">
        <v>27136</v>
      </c>
      <c r="F773" s="4" t="str">
        <f t="shared" si="53"/>
        <v>6A00</v>
      </c>
      <c r="G773" s="6" t="str">
        <f t="shared" ref="G773:G789" si="54">"pUmem_Cmd_TBD_"&amp;F773</f>
        <v>pUmem_Cmd_TBD_6A00</v>
      </c>
      <c r="H773" s="6"/>
      <c r="I773" s="7"/>
    </row>
    <row r="774" spans="2:9" ht="17.100000000000001" customHeight="1" x14ac:dyDescent="0.3">
      <c r="B774" s="19"/>
      <c r="C774" s="19"/>
      <c r="D774" s="4">
        <v>35</v>
      </c>
      <c r="E774" s="4">
        <v>27140</v>
      </c>
      <c r="F774" s="4" t="str">
        <f t="shared" si="53"/>
        <v>6A04</v>
      </c>
      <c r="G774" s="6" t="str">
        <f t="shared" si="54"/>
        <v>pUmem_Cmd_TBD_6A04</v>
      </c>
      <c r="H774" s="6"/>
      <c r="I774" s="7"/>
    </row>
    <row r="775" spans="2:9" ht="17.100000000000001" customHeight="1" x14ac:dyDescent="0.3">
      <c r="B775" s="19"/>
      <c r="C775" s="19"/>
      <c r="D775" s="4">
        <v>36</v>
      </c>
      <c r="E775" s="4">
        <v>27144</v>
      </c>
      <c r="F775" s="4" t="str">
        <f t="shared" si="53"/>
        <v>6A08</v>
      </c>
      <c r="G775" s="6" t="str">
        <f t="shared" si="54"/>
        <v>pUmem_Cmd_TBD_6A08</v>
      </c>
      <c r="H775" s="6"/>
      <c r="I775" s="7"/>
    </row>
    <row r="776" spans="2:9" ht="17.100000000000001" customHeight="1" x14ac:dyDescent="0.3">
      <c r="B776" s="19"/>
      <c r="C776" s="19"/>
      <c r="D776" s="4">
        <v>37</v>
      </c>
      <c r="E776" s="4">
        <v>27148</v>
      </c>
      <c r="F776" s="4" t="str">
        <f t="shared" si="53"/>
        <v>6A0C</v>
      </c>
      <c r="G776" s="6" t="str">
        <f t="shared" si="54"/>
        <v>pUmem_Cmd_TBD_6A0C</v>
      </c>
      <c r="H776" s="6"/>
      <c r="I776" s="7"/>
    </row>
    <row r="777" spans="2:9" ht="17.100000000000001" customHeight="1" x14ac:dyDescent="0.3">
      <c r="B777" s="19"/>
      <c r="C777" s="19"/>
      <c r="D777" s="4">
        <v>38</v>
      </c>
      <c r="E777" s="4">
        <v>27152</v>
      </c>
      <c r="F777" s="4" t="str">
        <f t="shared" si="53"/>
        <v>6A10</v>
      </c>
      <c r="G777" s="6" t="str">
        <f t="shared" si="54"/>
        <v>pUmem_Cmd_TBD_6A10</v>
      </c>
      <c r="H777" s="6"/>
      <c r="I777" s="7"/>
    </row>
    <row r="778" spans="2:9" ht="17.100000000000001" customHeight="1" x14ac:dyDescent="0.3">
      <c r="B778" s="19"/>
      <c r="C778" s="19"/>
      <c r="D778" s="4">
        <v>39</v>
      </c>
      <c r="E778" s="4">
        <v>27156</v>
      </c>
      <c r="F778" s="4" t="str">
        <f t="shared" si="53"/>
        <v>6A14</v>
      </c>
      <c r="G778" s="6" t="str">
        <f t="shared" si="54"/>
        <v>pUmem_Cmd_TBD_6A14</v>
      </c>
      <c r="H778" s="6"/>
      <c r="I778" s="7"/>
    </row>
    <row r="779" spans="2:9" ht="17.100000000000001" customHeight="1" x14ac:dyDescent="0.3">
      <c r="B779" s="19"/>
      <c r="C779" s="19"/>
      <c r="D779" s="4">
        <v>40</v>
      </c>
      <c r="E779" s="4">
        <v>27160</v>
      </c>
      <c r="F779" s="4" t="str">
        <f t="shared" si="53"/>
        <v>6A18</v>
      </c>
      <c r="G779" s="6" t="str">
        <f t="shared" si="54"/>
        <v>pUmem_Cmd_TBD_6A18</v>
      </c>
      <c r="H779" s="6"/>
      <c r="I779" s="7"/>
    </row>
    <row r="780" spans="2:9" ht="17.100000000000001" customHeight="1" x14ac:dyDescent="0.3">
      <c r="B780" s="19"/>
      <c r="C780" s="19"/>
      <c r="D780" s="4">
        <v>41</v>
      </c>
      <c r="E780" s="4">
        <v>27164</v>
      </c>
      <c r="F780" s="4" t="str">
        <f t="shared" si="53"/>
        <v>6A1C</v>
      </c>
      <c r="G780" s="6" t="str">
        <f t="shared" si="54"/>
        <v>pUmem_Cmd_TBD_6A1C</v>
      </c>
      <c r="H780" s="6"/>
      <c r="I780" s="7"/>
    </row>
    <row r="781" spans="2:9" ht="17.100000000000001" customHeight="1" x14ac:dyDescent="0.3">
      <c r="B781" s="19"/>
      <c r="C781" s="19"/>
      <c r="D781" s="4">
        <v>42</v>
      </c>
      <c r="E781" s="4">
        <v>27168</v>
      </c>
      <c r="F781" s="4" t="str">
        <f t="shared" si="53"/>
        <v>6A20</v>
      </c>
      <c r="G781" s="6" t="str">
        <f t="shared" si="54"/>
        <v>pUmem_Cmd_TBD_6A20</v>
      </c>
      <c r="H781" s="6"/>
      <c r="I781" s="7"/>
    </row>
    <row r="782" spans="2:9" ht="17.100000000000001" customHeight="1" x14ac:dyDescent="0.3">
      <c r="B782" s="19"/>
      <c r="C782" s="19"/>
      <c r="D782" s="4">
        <v>43</v>
      </c>
      <c r="E782" s="4">
        <v>27172</v>
      </c>
      <c r="F782" s="4" t="str">
        <f t="shared" si="53"/>
        <v>6A24</v>
      </c>
      <c r="G782" s="6" t="str">
        <f t="shared" si="54"/>
        <v>pUmem_Cmd_TBD_6A24</v>
      </c>
      <c r="H782" s="6"/>
      <c r="I782" s="7"/>
    </row>
    <row r="783" spans="2:9" ht="17.100000000000001" customHeight="1" x14ac:dyDescent="0.3">
      <c r="B783" s="19"/>
      <c r="C783" s="19"/>
      <c r="D783" s="4">
        <v>44</v>
      </c>
      <c r="E783" s="4">
        <v>27176</v>
      </c>
      <c r="F783" s="4" t="str">
        <f t="shared" si="53"/>
        <v>6A28</v>
      </c>
      <c r="G783" s="6" t="str">
        <f t="shared" si="54"/>
        <v>pUmem_Cmd_TBD_6A28</v>
      </c>
      <c r="H783" s="6"/>
      <c r="I783" s="7"/>
    </row>
    <row r="784" spans="2:9" ht="17.100000000000001" customHeight="1" x14ac:dyDescent="0.3">
      <c r="B784" s="19"/>
      <c r="C784" s="19"/>
      <c r="D784" s="4">
        <v>45</v>
      </c>
      <c r="E784" s="4">
        <v>27180</v>
      </c>
      <c r="F784" s="4" t="str">
        <f t="shared" si="53"/>
        <v>6A2C</v>
      </c>
      <c r="G784" s="6" t="str">
        <f t="shared" si="54"/>
        <v>pUmem_Cmd_TBD_6A2C</v>
      </c>
      <c r="H784" s="6"/>
      <c r="I784" s="7"/>
    </row>
    <row r="785" spans="2:9" ht="17.100000000000001" customHeight="1" x14ac:dyDescent="0.3">
      <c r="B785" s="19"/>
      <c r="C785" s="19"/>
      <c r="D785" s="4">
        <v>46</v>
      </c>
      <c r="E785" s="4">
        <v>27184</v>
      </c>
      <c r="F785" s="4" t="str">
        <f t="shared" si="53"/>
        <v>6A30</v>
      </c>
      <c r="G785" s="6" t="str">
        <f t="shared" si="54"/>
        <v>pUmem_Cmd_TBD_6A30</v>
      </c>
      <c r="H785" s="6"/>
      <c r="I785" s="7"/>
    </row>
    <row r="786" spans="2:9" ht="17.100000000000001" customHeight="1" x14ac:dyDescent="0.3">
      <c r="B786" s="19"/>
      <c r="C786" s="19"/>
      <c r="D786" s="4">
        <v>47</v>
      </c>
      <c r="E786" s="4">
        <v>27188</v>
      </c>
      <c r="F786" s="4" t="str">
        <f t="shared" si="53"/>
        <v>6A34</v>
      </c>
      <c r="G786" s="6" t="str">
        <f t="shared" si="54"/>
        <v>pUmem_Cmd_TBD_6A34</v>
      </c>
      <c r="H786" s="6"/>
      <c r="I786" s="7"/>
    </row>
    <row r="787" spans="2:9" ht="17.100000000000001" customHeight="1" x14ac:dyDescent="0.3">
      <c r="B787" s="19"/>
      <c r="C787" s="19"/>
      <c r="D787" s="4">
        <v>48</v>
      </c>
      <c r="E787" s="4">
        <v>27192</v>
      </c>
      <c r="F787" s="4" t="str">
        <f t="shared" si="53"/>
        <v>6A38</v>
      </c>
      <c r="G787" s="6" t="str">
        <f t="shared" si="54"/>
        <v>pUmem_Cmd_TBD_6A38</v>
      </c>
      <c r="H787" s="6"/>
      <c r="I787" s="7"/>
    </row>
    <row r="788" spans="2:9" ht="17.100000000000001" customHeight="1" x14ac:dyDescent="0.3">
      <c r="B788" s="19"/>
      <c r="C788" s="19"/>
      <c r="D788" s="4">
        <v>49</v>
      </c>
      <c r="E788" s="4">
        <v>27196</v>
      </c>
      <c r="F788" s="4" t="str">
        <f t="shared" si="53"/>
        <v>6A3C</v>
      </c>
      <c r="G788" s="6" t="str">
        <f t="shared" si="54"/>
        <v>pUmem_Cmd_TBD_6A3C</v>
      </c>
      <c r="H788" s="6"/>
      <c r="I788" s="7"/>
    </row>
    <row r="789" spans="2:9" ht="17.100000000000001" customHeight="1" x14ac:dyDescent="0.3">
      <c r="B789" s="19"/>
      <c r="C789" s="19"/>
      <c r="D789" s="4">
        <v>50</v>
      </c>
      <c r="E789" s="4">
        <v>27200</v>
      </c>
      <c r="F789" s="4" t="str">
        <f t="shared" si="53"/>
        <v>6A40</v>
      </c>
      <c r="G789" s="6" t="str">
        <f t="shared" si="54"/>
        <v>pUmem_Cmd_TBD_6A40</v>
      </c>
      <c r="H789" s="6"/>
      <c r="I789" s="7"/>
    </row>
    <row r="790" spans="2:9" ht="17.100000000000001" customHeight="1" x14ac:dyDescent="0.3">
      <c r="B790" s="19"/>
      <c r="C790" s="19"/>
      <c r="D790" s="4">
        <v>51</v>
      </c>
      <c r="E790" s="4">
        <v>27204</v>
      </c>
      <c r="F790" s="4" t="str">
        <f t="shared" si="53"/>
        <v>6A44</v>
      </c>
      <c r="G790" s="6" t="str">
        <f t="shared" ref="G790:G798" si="55">"pUmem_Cmd_TBD_"&amp;F790</f>
        <v>pUmem_Cmd_TBD_6A44</v>
      </c>
      <c r="H790" s="6"/>
      <c r="I790" s="7"/>
    </row>
    <row r="791" spans="2:9" ht="17.100000000000001" customHeight="1" x14ac:dyDescent="0.3">
      <c r="B791" s="19"/>
      <c r="C791" s="19"/>
      <c r="D791" s="4">
        <v>52</v>
      </c>
      <c r="E791" s="4">
        <v>27208</v>
      </c>
      <c r="F791" s="4" t="str">
        <f t="shared" si="53"/>
        <v>6A48</v>
      </c>
      <c r="G791" s="6" t="str">
        <f t="shared" si="55"/>
        <v>pUmem_Cmd_TBD_6A48</v>
      </c>
      <c r="H791" s="6"/>
      <c r="I791" s="7"/>
    </row>
    <row r="792" spans="2:9" ht="17.100000000000001" customHeight="1" x14ac:dyDescent="0.3">
      <c r="B792" s="19"/>
      <c r="C792" s="19"/>
      <c r="D792" s="4">
        <v>53</v>
      </c>
      <c r="E792" s="4">
        <v>27212</v>
      </c>
      <c r="F792" s="4" t="str">
        <f t="shared" si="53"/>
        <v>6A4C</v>
      </c>
      <c r="G792" s="6" t="str">
        <f t="shared" si="55"/>
        <v>pUmem_Cmd_TBD_6A4C</v>
      </c>
      <c r="H792" s="6"/>
      <c r="I792" s="7"/>
    </row>
    <row r="793" spans="2:9" ht="17.100000000000001" customHeight="1" x14ac:dyDescent="0.3">
      <c r="B793" s="19"/>
      <c r="C793" s="19"/>
      <c r="D793" s="4">
        <v>54</v>
      </c>
      <c r="E793" s="4">
        <v>27216</v>
      </c>
      <c r="F793" s="4" t="str">
        <f t="shared" si="53"/>
        <v>6A50</v>
      </c>
      <c r="G793" s="6" t="str">
        <f t="shared" si="55"/>
        <v>pUmem_Cmd_TBD_6A50</v>
      </c>
      <c r="H793" s="6"/>
      <c r="I793" s="7"/>
    </row>
    <row r="794" spans="2:9" ht="17.100000000000001" customHeight="1" x14ac:dyDescent="0.3">
      <c r="B794" s="19"/>
      <c r="C794" s="19"/>
      <c r="D794" s="4">
        <v>55</v>
      </c>
      <c r="E794" s="4">
        <v>27220</v>
      </c>
      <c r="F794" s="4" t="str">
        <f t="shared" si="53"/>
        <v>6A54</v>
      </c>
      <c r="G794" s="6" t="str">
        <f t="shared" si="55"/>
        <v>pUmem_Cmd_TBD_6A54</v>
      </c>
      <c r="H794" s="6"/>
      <c r="I794" s="7"/>
    </row>
    <row r="795" spans="2:9" ht="17.100000000000001" customHeight="1" x14ac:dyDescent="0.3">
      <c r="B795" s="19"/>
      <c r="C795" s="19"/>
      <c r="D795" s="4">
        <v>56</v>
      </c>
      <c r="E795" s="4">
        <v>27224</v>
      </c>
      <c r="F795" s="4" t="str">
        <f t="shared" si="53"/>
        <v>6A58</v>
      </c>
      <c r="G795" s="6" t="str">
        <f t="shared" si="55"/>
        <v>pUmem_Cmd_TBD_6A58</v>
      </c>
      <c r="H795" s="6"/>
      <c r="I795" s="7"/>
    </row>
    <row r="796" spans="2:9" ht="17.100000000000001" customHeight="1" x14ac:dyDescent="0.3">
      <c r="B796" s="19"/>
      <c r="C796" s="19"/>
      <c r="D796" s="4">
        <v>57</v>
      </c>
      <c r="E796" s="4">
        <v>27228</v>
      </c>
      <c r="F796" s="4" t="str">
        <f t="shared" si="53"/>
        <v>6A5C</v>
      </c>
      <c r="G796" s="6" t="str">
        <f t="shared" si="55"/>
        <v>pUmem_Cmd_TBD_6A5C</v>
      </c>
      <c r="H796" s="6"/>
      <c r="I796" s="7"/>
    </row>
    <row r="797" spans="2:9" ht="17.100000000000001" customHeight="1" x14ac:dyDescent="0.3">
      <c r="B797" s="19"/>
      <c r="C797" s="19"/>
      <c r="D797" s="4">
        <v>58</v>
      </c>
      <c r="E797" s="4">
        <v>27232</v>
      </c>
      <c r="F797" s="4" t="str">
        <f t="shared" si="53"/>
        <v>6A60</v>
      </c>
      <c r="G797" s="6" t="str">
        <f t="shared" si="55"/>
        <v>pUmem_Cmd_TBD_6A60</v>
      </c>
      <c r="H797" s="6"/>
      <c r="I797" s="7"/>
    </row>
    <row r="798" spans="2:9" ht="17.100000000000001" customHeight="1" x14ac:dyDescent="0.3">
      <c r="B798" s="19"/>
      <c r="C798" s="19"/>
      <c r="D798" s="4">
        <v>59</v>
      </c>
      <c r="E798" s="4">
        <v>27236</v>
      </c>
      <c r="F798" s="4" t="str">
        <f t="shared" si="53"/>
        <v>6A64</v>
      </c>
      <c r="G798" s="6" t="str">
        <f t="shared" si="55"/>
        <v>pUmem_Cmd_TBD_6A64</v>
      </c>
      <c r="H798" s="6"/>
      <c r="I798" s="7"/>
    </row>
  </sheetData>
  <mergeCells count="40">
    <mergeCell ref="B739:C798"/>
    <mergeCell ref="B484:B643"/>
    <mergeCell ref="C484:C503"/>
    <mergeCell ref="C504:C523"/>
    <mergeCell ref="C524:C543"/>
    <mergeCell ref="C544:C563"/>
    <mergeCell ref="C564:C583"/>
    <mergeCell ref="C584:C603"/>
    <mergeCell ref="C604:C623"/>
    <mergeCell ref="C624:C643"/>
    <mergeCell ref="B647:C676"/>
    <mergeCell ref="B678:C737"/>
    <mergeCell ref="C404:C423"/>
    <mergeCell ref="C424:C443"/>
    <mergeCell ref="C444:C463"/>
    <mergeCell ref="C464:C483"/>
    <mergeCell ref="B164:B323"/>
    <mergeCell ref="C164:C183"/>
    <mergeCell ref="C184:C203"/>
    <mergeCell ref="C304:C323"/>
    <mergeCell ref="C204:C223"/>
    <mergeCell ref="C224:C243"/>
    <mergeCell ref="C244:C263"/>
    <mergeCell ref="C264:C283"/>
    <mergeCell ref="C284:C303"/>
    <mergeCell ref="B324:B483"/>
    <mergeCell ref="C324:C343"/>
    <mergeCell ref="C344:C363"/>
    <mergeCell ref="C364:C383"/>
    <mergeCell ref="C384:C403"/>
    <mergeCell ref="B3:C3"/>
    <mergeCell ref="C4:C23"/>
    <mergeCell ref="C24:C43"/>
    <mergeCell ref="C44:C63"/>
    <mergeCell ref="C84:C103"/>
    <mergeCell ref="C64:C83"/>
    <mergeCell ref="B4:B163"/>
    <mergeCell ref="C104:C123"/>
    <mergeCell ref="C124:C143"/>
    <mergeCell ref="C144:C163"/>
  </mergeCells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Q19"/>
  <sheetViews>
    <sheetView zoomScale="85" zoomScaleNormal="85" workbookViewId="0">
      <selection activeCell="G22" sqref="G22"/>
    </sheetView>
  </sheetViews>
  <sheetFormatPr defaultColWidth="8.625" defaultRowHeight="17.100000000000001" customHeight="1" x14ac:dyDescent="0.3"/>
  <cols>
    <col min="1" max="2" width="8.625" style="3"/>
    <col min="3" max="3" width="9.5" style="3" bestFit="1" customWidth="1"/>
    <col min="4" max="5" width="15" style="3" bestFit="1" customWidth="1"/>
    <col min="6" max="6" width="38.25" style="3" bestFit="1" customWidth="1"/>
    <col min="7" max="7" width="12.75" style="3" bestFit="1" customWidth="1"/>
    <col min="8" max="8" width="6.5" style="10" bestFit="1" customWidth="1"/>
    <col min="9" max="10" width="6.5" style="10" customWidth="1"/>
    <col min="11" max="11" width="8.625" style="3"/>
    <col min="12" max="12" width="9.5" style="3" bestFit="1" customWidth="1"/>
    <col min="13" max="14" width="15" style="3" bestFit="1" customWidth="1"/>
    <col min="15" max="15" width="36.125" style="3" bestFit="1" customWidth="1"/>
    <col min="16" max="16" width="12.75" style="3" bestFit="1" customWidth="1"/>
    <col min="17" max="17" width="6.5" style="3" bestFit="1" customWidth="1"/>
    <col min="18" max="16384" width="8.625" style="3"/>
  </cols>
  <sheetData>
    <row r="3" spans="2:17" ht="17.100000000000001" customHeight="1" x14ac:dyDescent="0.3">
      <c r="B3" s="18" t="s">
        <v>8</v>
      </c>
      <c r="C3" s="18"/>
      <c r="D3" s="2" t="s">
        <v>6</v>
      </c>
      <c r="E3" s="2" t="s">
        <v>0</v>
      </c>
      <c r="F3" s="2" t="s">
        <v>1</v>
      </c>
      <c r="G3" s="2" t="s">
        <v>2</v>
      </c>
      <c r="H3" s="2" t="s">
        <v>10</v>
      </c>
      <c r="I3" s="13"/>
      <c r="J3" s="14"/>
      <c r="K3" s="18" t="s">
        <v>8</v>
      </c>
      <c r="L3" s="18"/>
      <c r="M3" s="2" t="s">
        <v>6</v>
      </c>
      <c r="N3" s="2" t="s">
        <v>0</v>
      </c>
      <c r="O3" s="2" t="s">
        <v>1</v>
      </c>
      <c r="P3" s="2" t="s">
        <v>2</v>
      </c>
      <c r="Q3" s="2" t="s">
        <v>10</v>
      </c>
    </row>
    <row r="4" spans="2:17" ht="17.100000000000001" customHeight="1" x14ac:dyDescent="0.3">
      <c r="B4" s="19" t="s">
        <v>281</v>
      </c>
      <c r="C4" s="17" t="s">
        <v>280</v>
      </c>
      <c r="D4" s="15">
        <v>30000</v>
      </c>
      <c r="E4" s="4" t="str">
        <f>DEC2HEX(D4)&amp;".00"</f>
        <v>7530.00</v>
      </c>
      <c r="F4" s="16" t="s">
        <v>2207</v>
      </c>
      <c r="G4" s="4"/>
      <c r="H4" s="4"/>
      <c r="K4" s="19" t="s">
        <v>282</v>
      </c>
      <c r="L4" s="17" t="s">
        <v>280</v>
      </c>
      <c r="M4" s="15">
        <v>31000</v>
      </c>
      <c r="N4" s="4" t="str">
        <f>DEC2HEX(M4)&amp;".00"</f>
        <v>7918.00</v>
      </c>
      <c r="O4" s="16" t="s">
        <v>2223</v>
      </c>
      <c r="P4" s="4"/>
      <c r="Q4" s="4"/>
    </row>
    <row r="5" spans="2:17" ht="17.100000000000001" customHeight="1" x14ac:dyDescent="0.3">
      <c r="B5" s="19"/>
      <c r="C5" s="17"/>
      <c r="D5" s="15">
        <v>30000</v>
      </c>
      <c r="E5" s="4" t="str">
        <f>DEC2HEX(D5)&amp;".01"</f>
        <v>7530.01</v>
      </c>
      <c r="F5" s="16" t="s">
        <v>2208</v>
      </c>
      <c r="G5" s="4"/>
      <c r="H5" s="4"/>
      <c r="K5" s="19"/>
      <c r="L5" s="17"/>
      <c r="M5" s="15">
        <v>31000</v>
      </c>
      <c r="N5" s="4" t="str">
        <f>DEC2HEX(M5)&amp;".01"</f>
        <v>7918.01</v>
      </c>
      <c r="O5" s="16" t="s">
        <v>2224</v>
      </c>
      <c r="P5" s="4"/>
      <c r="Q5" s="4"/>
    </row>
    <row r="6" spans="2:17" ht="17.100000000000001" customHeight="1" x14ac:dyDescent="0.3">
      <c r="B6" s="19"/>
      <c r="C6" s="17"/>
      <c r="D6" s="15">
        <v>30000</v>
      </c>
      <c r="E6" s="4" t="str">
        <f>DEC2HEX(D6)&amp;".02"</f>
        <v>7530.02</v>
      </c>
      <c r="F6" s="16" t="s">
        <v>2209</v>
      </c>
      <c r="G6" s="4"/>
      <c r="H6" s="4"/>
      <c r="K6" s="19"/>
      <c r="L6" s="17"/>
      <c r="M6" s="15">
        <v>31000</v>
      </c>
      <c r="N6" s="4" t="str">
        <f>DEC2HEX(M6)&amp;".02"</f>
        <v>7918.02</v>
      </c>
      <c r="O6" s="16" t="s">
        <v>2225</v>
      </c>
      <c r="P6" s="4"/>
      <c r="Q6" s="4"/>
    </row>
    <row r="7" spans="2:17" ht="17.100000000000001" customHeight="1" x14ac:dyDescent="0.3">
      <c r="B7" s="19"/>
      <c r="C7" s="17"/>
      <c r="D7" s="15">
        <v>30000</v>
      </c>
      <c r="E7" s="4" t="str">
        <f>DEC2HEX(D7)&amp;".03"</f>
        <v>7530.03</v>
      </c>
      <c r="F7" s="16" t="s">
        <v>2210</v>
      </c>
      <c r="G7" s="4"/>
      <c r="H7" s="4"/>
      <c r="K7" s="19"/>
      <c r="L7" s="17"/>
      <c r="M7" s="15">
        <v>31000</v>
      </c>
      <c r="N7" s="4" t="str">
        <f>DEC2HEX(M7)&amp;".03"</f>
        <v>7918.03</v>
      </c>
      <c r="O7" s="16" t="s">
        <v>2226</v>
      </c>
      <c r="P7" s="4"/>
      <c r="Q7" s="4"/>
    </row>
    <row r="8" spans="2:17" ht="17.100000000000001" customHeight="1" x14ac:dyDescent="0.3">
      <c r="B8" s="19"/>
      <c r="C8" s="17"/>
      <c r="D8" s="15">
        <v>30000</v>
      </c>
      <c r="E8" s="4" t="str">
        <f>DEC2HEX(D8)&amp;".04"</f>
        <v>7530.04</v>
      </c>
      <c r="F8" s="16" t="s">
        <v>2211</v>
      </c>
      <c r="G8" s="4"/>
      <c r="H8" s="4"/>
      <c r="K8" s="19"/>
      <c r="L8" s="17"/>
      <c r="M8" s="15">
        <v>31000</v>
      </c>
      <c r="N8" s="4" t="str">
        <f>DEC2HEX(M8)&amp;".04"</f>
        <v>7918.04</v>
      </c>
      <c r="O8" s="16" t="s">
        <v>2227</v>
      </c>
      <c r="P8" s="4"/>
      <c r="Q8" s="4"/>
    </row>
    <row r="9" spans="2:17" ht="17.100000000000001" customHeight="1" x14ac:dyDescent="0.3">
      <c r="B9" s="19"/>
      <c r="C9" s="17"/>
      <c r="D9" s="15">
        <v>30000</v>
      </c>
      <c r="E9" s="4" t="str">
        <f>DEC2HEX(D9)&amp;".05"</f>
        <v>7530.05</v>
      </c>
      <c r="F9" s="16" t="s">
        <v>2212</v>
      </c>
      <c r="G9" s="4"/>
      <c r="H9" s="4"/>
      <c r="K9" s="19"/>
      <c r="L9" s="17"/>
      <c r="M9" s="15">
        <v>31000</v>
      </c>
      <c r="N9" s="4" t="str">
        <f>DEC2HEX(M9)&amp;".05"</f>
        <v>7918.05</v>
      </c>
      <c r="O9" s="16" t="s">
        <v>2228</v>
      </c>
      <c r="P9" s="4"/>
      <c r="Q9" s="4"/>
    </row>
    <row r="10" spans="2:17" ht="17.100000000000001" customHeight="1" x14ac:dyDescent="0.3">
      <c r="B10" s="19"/>
      <c r="C10" s="17"/>
      <c r="D10" s="15">
        <v>30000</v>
      </c>
      <c r="E10" s="4" t="str">
        <f>DEC2HEX(D10)&amp;".06"</f>
        <v>7530.06</v>
      </c>
      <c r="F10" s="16" t="s">
        <v>2213</v>
      </c>
      <c r="G10" s="4"/>
      <c r="H10" s="4"/>
      <c r="K10" s="19"/>
      <c r="L10" s="17"/>
      <c r="M10" s="15">
        <v>31000</v>
      </c>
      <c r="N10" s="4" t="str">
        <f>DEC2HEX(M10)&amp;".06"</f>
        <v>7918.06</v>
      </c>
      <c r="O10" s="16" t="s">
        <v>2229</v>
      </c>
      <c r="P10" s="4"/>
      <c r="Q10" s="4"/>
    </row>
    <row r="11" spans="2:17" ht="17.100000000000001" customHeight="1" x14ac:dyDescent="0.3">
      <c r="B11" s="19"/>
      <c r="C11" s="17"/>
      <c r="D11" s="15">
        <v>30000</v>
      </c>
      <c r="E11" s="4" t="str">
        <f>DEC2HEX(D11)&amp;".07"</f>
        <v>7530.07</v>
      </c>
      <c r="F11" s="16" t="s">
        <v>2214</v>
      </c>
      <c r="G11" s="4"/>
      <c r="H11" s="4"/>
      <c r="K11" s="19"/>
      <c r="L11" s="17"/>
      <c r="M11" s="15">
        <v>31000</v>
      </c>
      <c r="N11" s="4" t="str">
        <f>DEC2HEX(M11)&amp;".07"</f>
        <v>7918.07</v>
      </c>
      <c r="O11" s="16" t="s">
        <v>2230</v>
      </c>
      <c r="P11" s="4"/>
      <c r="Q11" s="4"/>
    </row>
    <row r="12" spans="2:17" ht="17.100000000000001" customHeight="1" x14ac:dyDescent="0.3">
      <c r="B12" s="19"/>
      <c r="C12" s="17"/>
      <c r="D12" s="15">
        <v>30000</v>
      </c>
      <c r="E12" s="4" t="str">
        <f>DEC2HEX(D12)&amp;".08"</f>
        <v>7530.08</v>
      </c>
      <c r="F12" s="16" t="s">
        <v>2215</v>
      </c>
      <c r="G12" s="4"/>
      <c r="H12" s="4"/>
      <c r="K12" s="19"/>
      <c r="L12" s="17"/>
      <c r="M12" s="15">
        <v>31000</v>
      </c>
      <c r="N12" s="4" t="str">
        <f>DEC2HEX(M12)&amp;".08"</f>
        <v>7918.08</v>
      </c>
      <c r="O12" s="16" t="s">
        <v>2231</v>
      </c>
      <c r="P12" s="4"/>
      <c r="Q12" s="4"/>
    </row>
    <row r="13" spans="2:17" ht="17.100000000000001" customHeight="1" x14ac:dyDescent="0.3">
      <c r="B13" s="19"/>
      <c r="C13" s="17"/>
      <c r="D13" s="15">
        <v>30000</v>
      </c>
      <c r="E13" s="4" t="str">
        <f>DEC2HEX(D13)&amp;".09"</f>
        <v>7530.09</v>
      </c>
      <c r="F13" s="16" t="s">
        <v>2216</v>
      </c>
      <c r="G13" s="4"/>
      <c r="H13" s="4"/>
      <c r="K13" s="19"/>
      <c r="L13" s="17"/>
      <c r="M13" s="15">
        <v>31000</v>
      </c>
      <c r="N13" s="4" t="str">
        <f>DEC2HEX(M13)&amp;".09"</f>
        <v>7918.09</v>
      </c>
      <c r="O13" s="16" t="s">
        <v>2232</v>
      </c>
      <c r="P13" s="4"/>
      <c r="Q13" s="4"/>
    </row>
    <row r="14" spans="2:17" ht="17.100000000000001" customHeight="1" x14ac:dyDescent="0.3">
      <c r="B14" s="19"/>
      <c r="C14" s="17"/>
      <c r="D14" s="15">
        <v>30000</v>
      </c>
      <c r="E14" s="4" t="str">
        <f>DEC2HEX(D14)&amp;".10"</f>
        <v>7530.10</v>
      </c>
      <c r="F14" s="16" t="s">
        <v>2217</v>
      </c>
      <c r="G14" s="4"/>
      <c r="H14" s="4"/>
      <c r="K14" s="19"/>
      <c r="L14" s="17"/>
      <c r="M14" s="15">
        <v>31000</v>
      </c>
      <c r="N14" s="4" t="str">
        <f>DEC2HEX(M14)&amp;".10"</f>
        <v>7918.10</v>
      </c>
      <c r="O14" s="16" t="s">
        <v>2233</v>
      </c>
      <c r="P14" s="4"/>
      <c r="Q14" s="4"/>
    </row>
    <row r="15" spans="2:17" ht="17.100000000000001" customHeight="1" x14ac:dyDescent="0.3">
      <c r="B15" s="19"/>
      <c r="C15" s="17"/>
      <c r="D15" s="15">
        <v>30000</v>
      </c>
      <c r="E15" s="4" t="str">
        <f>DEC2HEX(D15)&amp;".11"</f>
        <v>7530.11</v>
      </c>
      <c r="F15" s="16" t="s">
        <v>2218</v>
      </c>
      <c r="G15" s="4"/>
      <c r="H15" s="4"/>
      <c r="K15" s="19"/>
      <c r="L15" s="17"/>
      <c r="M15" s="15">
        <v>31000</v>
      </c>
      <c r="N15" s="4" t="str">
        <f>DEC2HEX(M15)&amp;".11"</f>
        <v>7918.11</v>
      </c>
      <c r="O15" s="16" t="s">
        <v>2234</v>
      </c>
      <c r="P15" s="4"/>
      <c r="Q15" s="4"/>
    </row>
    <row r="16" spans="2:17" ht="17.100000000000001" customHeight="1" x14ac:dyDescent="0.3">
      <c r="B16" s="19"/>
      <c r="C16" s="17"/>
      <c r="D16" s="15">
        <v>30000</v>
      </c>
      <c r="E16" s="4" t="str">
        <f>DEC2HEX(D16)&amp;".12"</f>
        <v>7530.12</v>
      </c>
      <c r="F16" s="16" t="s">
        <v>2219</v>
      </c>
      <c r="G16" s="4"/>
      <c r="H16" s="4"/>
      <c r="K16" s="19"/>
      <c r="L16" s="17"/>
      <c r="M16" s="15">
        <v>31000</v>
      </c>
      <c r="N16" s="4" t="str">
        <f>DEC2HEX(M16)&amp;".12"</f>
        <v>7918.12</v>
      </c>
      <c r="O16" s="16" t="s">
        <v>2235</v>
      </c>
      <c r="P16" s="4"/>
      <c r="Q16" s="4"/>
    </row>
    <row r="17" spans="2:17" ht="17.100000000000001" customHeight="1" x14ac:dyDescent="0.3">
      <c r="B17" s="19"/>
      <c r="C17" s="17"/>
      <c r="D17" s="15">
        <v>30000</v>
      </c>
      <c r="E17" s="4" t="str">
        <f>DEC2HEX(D17)&amp;".13"</f>
        <v>7530.13</v>
      </c>
      <c r="F17" s="16" t="s">
        <v>2220</v>
      </c>
      <c r="G17" s="4"/>
      <c r="H17" s="4"/>
      <c r="K17" s="19"/>
      <c r="L17" s="17"/>
      <c r="M17" s="15">
        <v>31000</v>
      </c>
      <c r="N17" s="4" t="str">
        <f>DEC2HEX(M17)&amp;".13"</f>
        <v>7918.13</v>
      </c>
      <c r="O17" s="16" t="s">
        <v>2236</v>
      </c>
      <c r="P17" s="4"/>
      <c r="Q17" s="4"/>
    </row>
    <row r="18" spans="2:17" ht="17.100000000000001" customHeight="1" x14ac:dyDescent="0.3">
      <c r="B18" s="19"/>
      <c r="C18" s="17"/>
      <c r="D18" s="15">
        <v>30000</v>
      </c>
      <c r="E18" s="4" t="str">
        <f>DEC2HEX(D18)&amp;".14"</f>
        <v>7530.14</v>
      </c>
      <c r="F18" s="16" t="s">
        <v>2221</v>
      </c>
      <c r="G18" s="4"/>
      <c r="H18" s="4"/>
      <c r="K18" s="19"/>
      <c r="L18" s="17"/>
      <c r="M18" s="15">
        <v>31000</v>
      </c>
      <c r="N18" s="4" t="str">
        <f>DEC2HEX(M18)&amp;".14"</f>
        <v>7918.14</v>
      </c>
      <c r="O18" s="16" t="s">
        <v>2237</v>
      </c>
      <c r="P18" s="4"/>
      <c r="Q18" s="4"/>
    </row>
    <row r="19" spans="2:17" ht="17.100000000000001" customHeight="1" x14ac:dyDescent="0.3">
      <c r="B19" s="19"/>
      <c r="C19" s="17"/>
      <c r="D19" s="15">
        <v>30000</v>
      </c>
      <c r="E19" s="4" t="str">
        <f>DEC2HEX(D19)&amp;".15"</f>
        <v>7530.15</v>
      </c>
      <c r="F19" s="16" t="s">
        <v>2222</v>
      </c>
      <c r="G19" s="4"/>
      <c r="H19" s="4"/>
      <c r="K19" s="19"/>
      <c r="L19" s="17"/>
      <c r="M19" s="15">
        <v>31000</v>
      </c>
      <c r="N19" s="4" t="str">
        <f>DEC2HEX(M19)&amp;".15"</f>
        <v>7918.15</v>
      </c>
      <c r="O19" s="16" t="s">
        <v>2238</v>
      </c>
      <c r="P19" s="4"/>
      <c r="Q19" s="4"/>
    </row>
  </sheetData>
  <mergeCells count="6">
    <mergeCell ref="B3:C3"/>
    <mergeCell ref="K3:L3"/>
    <mergeCell ref="L4:L19"/>
    <mergeCell ref="C4:C19"/>
    <mergeCell ref="B4:B19"/>
    <mergeCell ref="K4:K19"/>
  </mergeCells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D1288-2B7B-4D44-A62F-67B2F4766EB8}">
  <dimension ref="A2:E495"/>
  <sheetViews>
    <sheetView topLeftCell="A19" workbookViewId="0">
      <selection activeCell="I39" sqref="I39"/>
    </sheetView>
  </sheetViews>
  <sheetFormatPr defaultRowHeight="16.5" x14ac:dyDescent="0.3"/>
  <cols>
    <col min="3" max="3" width="27.875" bestFit="1" customWidth="1"/>
    <col min="5" max="5" width="37.125" bestFit="1" customWidth="1"/>
  </cols>
  <sheetData>
    <row r="2" spans="1:5" x14ac:dyDescent="0.3">
      <c r="A2" s="1">
        <v>10000</v>
      </c>
      <c r="B2" s="1" t="str">
        <f>DEC2HEX(A2)</f>
        <v>2710</v>
      </c>
      <c r="C2" t="s">
        <v>1028</v>
      </c>
      <c r="D2" t="s">
        <v>1060</v>
      </c>
      <c r="E2" t="str">
        <f>C2&amp;D2&amp;B2</f>
        <v>pUmem_Sta_CmdPos(01)-&gt;i.user:$2710</v>
      </c>
    </row>
    <row r="3" spans="1:5" x14ac:dyDescent="0.3">
      <c r="A3" s="1">
        <v>10080</v>
      </c>
      <c r="B3" s="1" t="str">
        <f t="shared" ref="B3:B33" si="0">DEC2HEX(A3)</f>
        <v>2760</v>
      </c>
      <c r="C3" t="s">
        <v>1029</v>
      </c>
      <c r="D3" t="s">
        <v>1060</v>
      </c>
      <c r="E3" t="str">
        <f t="shared" ref="E3:E33" si="1">C3&amp;D3&amp;B3</f>
        <v>pUmem_Sta_CmdPos(02)-&gt;i.user:$2760</v>
      </c>
    </row>
    <row r="4" spans="1:5" x14ac:dyDescent="0.3">
      <c r="A4" s="1">
        <v>10160</v>
      </c>
      <c r="B4" s="1" t="str">
        <f t="shared" si="0"/>
        <v>27B0</v>
      </c>
      <c r="C4" t="s">
        <v>1030</v>
      </c>
      <c r="D4" t="s">
        <v>1060</v>
      </c>
      <c r="E4" t="str">
        <f t="shared" si="1"/>
        <v>pUmem_Sta_CmdPos(03)-&gt;i.user:$27B0</v>
      </c>
    </row>
    <row r="5" spans="1:5" x14ac:dyDescent="0.3">
      <c r="A5" s="1">
        <v>10240</v>
      </c>
      <c r="B5" s="1" t="str">
        <f t="shared" si="0"/>
        <v>2800</v>
      </c>
      <c r="C5" t="s">
        <v>1031</v>
      </c>
      <c r="D5" t="s">
        <v>1060</v>
      </c>
      <c r="E5" t="str">
        <f t="shared" si="1"/>
        <v>pUmem_Sta_CmdPos(04)-&gt;i.user:$2800</v>
      </c>
    </row>
    <row r="6" spans="1:5" x14ac:dyDescent="0.3">
      <c r="A6" s="1">
        <v>10320</v>
      </c>
      <c r="B6" s="1" t="str">
        <f t="shared" si="0"/>
        <v>2850</v>
      </c>
      <c r="C6" t="s">
        <v>1032</v>
      </c>
      <c r="D6" t="s">
        <v>1060</v>
      </c>
      <c r="E6" t="str">
        <f t="shared" si="1"/>
        <v>pUmem_Sta_CmdPos(05)-&gt;i.user:$2850</v>
      </c>
    </row>
    <row r="7" spans="1:5" x14ac:dyDescent="0.3">
      <c r="A7" s="1">
        <v>10400</v>
      </c>
      <c r="B7" s="1" t="str">
        <f t="shared" si="0"/>
        <v>28A0</v>
      </c>
      <c r="C7" t="s">
        <v>1033</v>
      </c>
      <c r="D7" t="s">
        <v>1060</v>
      </c>
      <c r="E7" t="str">
        <f t="shared" si="1"/>
        <v>pUmem_Sta_CmdPos(06)-&gt;i.user:$28A0</v>
      </c>
    </row>
    <row r="8" spans="1:5" x14ac:dyDescent="0.3">
      <c r="A8" s="1">
        <v>10480</v>
      </c>
      <c r="B8" s="1" t="str">
        <f t="shared" si="0"/>
        <v>28F0</v>
      </c>
      <c r="C8" t="s">
        <v>1034</v>
      </c>
      <c r="D8" t="s">
        <v>1060</v>
      </c>
      <c r="E8" t="str">
        <f t="shared" si="1"/>
        <v>pUmem_Sta_CmdPos(07)-&gt;i.user:$28F0</v>
      </c>
    </row>
    <row r="9" spans="1:5" x14ac:dyDescent="0.3">
      <c r="A9" s="1">
        <v>10560</v>
      </c>
      <c r="B9" s="1" t="str">
        <f t="shared" si="0"/>
        <v>2940</v>
      </c>
      <c r="C9" t="s">
        <v>1035</v>
      </c>
      <c r="D9" t="s">
        <v>1060</v>
      </c>
      <c r="E9" t="str">
        <f t="shared" si="1"/>
        <v>pUmem_Sta_CmdPos(08)-&gt;i.user:$2940</v>
      </c>
    </row>
    <row r="10" spans="1:5" x14ac:dyDescent="0.3">
      <c r="A10" s="1">
        <v>10640</v>
      </c>
      <c r="B10" s="1" t="str">
        <f t="shared" si="0"/>
        <v>2990</v>
      </c>
      <c r="C10" t="s">
        <v>1036</v>
      </c>
      <c r="D10" t="s">
        <v>1060</v>
      </c>
      <c r="E10" t="str">
        <f t="shared" si="1"/>
        <v>pUmem_Sta_CmdPos(09)-&gt;i.user:$2990</v>
      </c>
    </row>
    <row r="11" spans="1:5" x14ac:dyDescent="0.3">
      <c r="A11" s="1">
        <v>10720</v>
      </c>
      <c r="B11" s="1" t="str">
        <f t="shared" si="0"/>
        <v>29E0</v>
      </c>
      <c r="C11" t="s">
        <v>1037</v>
      </c>
      <c r="D11" t="s">
        <v>1060</v>
      </c>
      <c r="E11" t="str">
        <f t="shared" si="1"/>
        <v>pUmem_Sta_CmdPos(10)-&gt;i.user:$29E0</v>
      </c>
    </row>
    <row r="12" spans="1:5" x14ac:dyDescent="0.3">
      <c r="A12" s="1">
        <v>10800</v>
      </c>
      <c r="B12" s="1" t="str">
        <f t="shared" si="0"/>
        <v>2A30</v>
      </c>
      <c r="C12" t="s">
        <v>1038</v>
      </c>
      <c r="D12" t="s">
        <v>1060</v>
      </c>
      <c r="E12" t="str">
        <f t="shared" si="1"/>
        <v>pUmem_Sta_CmdPos(11)-&gt;i.user:$2A30</v>
      </c>
    </row>
    <row r="13" spans="1:5" x14ac:dyDescent="0.3">
      <c r="A13" s="1">
        <v>10880</v>
      </c>
      <c r="B13" s="1" t="str">
        <f t="shared" si="0"/>
        <v>2A80</v>
      </c>
      <c r="C13" t="s">
        <v>1039</v>
      </c>
      <c r="D13" t="s">
        <v>1060</v>
      </c>
      <c r="E13" t="str">
        <f t="shared" si="1"/>
        <v>pUmem_Sta_CmdPos(12)-&gt;i.user:$2A80</v>
      </c>
    </row>
    <row r="14" spans="1:5" x14ac:dyDescent="0.3">
      <c r="A14" s="1">
        <v>10960</v>
      </c>
      <c r="B14" s="1" t="str">
        <f t="shared" si="0"/>
        <v>2AD0</v>
      </c>
      <c r="C14" t="s">
        <v>1040</v>
      </c>
      <c r="D14" t="s">
        <v>1060</v>
      </c>
      <c r="E14" t="str">
        <f t="shared" si="1"/>
        <v>pUmem_Sta_CmdPos(13)-&gt;i.user:$2AD0</v>
      </c>
    </row>
    <row r="15" spans="1:5" x14ac:dyDescent="0.3">
      <c r="A15" s="1">
        <v>11040</v>
      </c>
      <c r="B15" s="1" t="str">
        <f t="shared" si="0"/>
        <v>2B20</v>
      </c>
      <c r="C15" t="s">
        <v>1041</v>
      </c>
      <c r="D15" t="s">
        <v>1060</v>
      </c>
      <c r="E15" t="str">
        <f t="shared" si="1"/>
        <v>pUmem_Sta_CmdPos(14)-&gt;i.user:$2B20</v>
      </c>
    </row>
    <row r="16" spans="1:5" x14ac:dyDescent="0.3">
      <c r="A16" s="1">
        <v>11120</v>
      </c>
      <c r="B16" s="1" t="str">
        <f t="shared" si="0"/>
        <v>2B70</v>
      </c>
      <c r="C16" t="s">
        <v>1042</v>
      </c>
      <c r="D16" t="s">
        <v>1060</v>
      </c>
      <c r="E16" t="str">
        <f t="shared" si="1"/>
        <v>pUmem_Sta_CmdPos(15)-&gt;i.user:$2B70</v>
      </c>
    </row>
    <row r="17" spans="1:5" x14ac:dyDescent="0.3">
      <c r="A17" s="1">
        <v>11200</v>
      </c>
      <c r="B17" s="1" t="str">
        <f t="shared" si="0"/>
        <v>2BC0</v>
      </c>
      <c r="C17" t="s">
        <v>1043</v>
      </c>
      <c r="D17" t="s">
        <v>1060</v>
      </c>
      <c r="E17" t="str">
        <f t="shared" si="1"/>
        <v>pUmem_Sta_CmdPos(16)-&gt;i.user:$2BC0</v>
      </c>
    </row>
    <row r="18" spans="1:5" x14ac:dyDescent="0.3">
      <c r="A18" s="1">
        <v>11280</v>
      </c>
      <c r="B18" s="1" t="str">
        <f t="shared" si="0"/>
        <v>2C10</v>
      </c>
      <c r="C18" t="s">
        <v>1044</v>
      </c>
      <c r="D18" t="s">
        <v>1060</v>
      </c>
      <c r="E18" t="str">
        <f t="shared" si="1"/>
        <v>pUmem_Sta_CmdPos(17)-&gt;i.user:$2C10</v>
      </c>
    </row>
    <row r="19" spans="1:5" x14ac:dyDescent="0.3">
      <c r="A19" s="1">
        <v>11360</v>
      </c>
      <c r="B19" s="1" t="str">
        <f t="shared" si="0"/>
        <v>2C60</v>
      </c>
      <c r="C19" t="s">
        <v>1045</v>
      </c>
      <c r="D19" t="s">
        <v>1060</v>
      </c>
      <c r="E19" t="str">
        <f t="shared" si="1"/>
        <v>pUmem_Sta_CmdPos(18)-&gt;i.user:$2C60</v>
      </c>
    </row>
    <row r="20" spans="1:5" x14ac:dyDescent="0.3">
      <c r="A20" s="1">
        <v>11440</v>
      </c>
      <c r="B20" s="1" t="str">
        <f t="shared" si="0"/>
        <v>2CB0</v>
      </c>
      <c r="C20" t="s">
        <v>1046</v>
      </c>
      <c r="D20" t="s">
        <v>1060</v>
      </c>
      <c r="E20" t="str">
        <f t="shared" si="1"/>
        <v>pUmem_Sta_CmdPos(19)-&gt;i.user:$2CB0</v>
      </c>
    </row>
    <row r="21" spans="1:5" x14ac:dyDescent="0.3">
      <c r="A21" s="1">
        <v>11520</v>
      </c>
      <c r="B21" s="1" t="str">
        <f t="shared" si="0"/>
        <v>2D00</v>
      </c>
      <c r="C21" t="s">
        <v>1047</v>
      </c>
      <c r="D21" t="s">
        <v>1060</v>
      </c>
      <c r="E21" t="str">
        <f t="shared" si="1"/>
        <v>pUmem_Sta_CmdPos(20)-&gt;i.user:$2D00</v>
      </c>
    </row>
    <row r="22" spans="1:5" x14ac:dyDescent="0.3">
      <c r="A22" s="1">
        <v>11600</v>
      </c>
      <c r="B22" s="1" t="str">
        <f t="shared" si="0"/>
        <v>2D50</v>
      </c>
      <c r="C22" t="s">
        <v>1048</v>
      </c>
      <c r="D22" t="s">
        <v>1060</v>
      </c>
      <c r="E22" t="str">
        <f t="shared" si="1"/>
        <v>pUmem_Sta_CmdPos(21)-&gt;i.user:$2D50</v>
      </c>
    </row>
    <row r="23" spans="1:5" x14ac:dyDescent="0.3">
      <c r="A23" s="1">
        <v>11680</v>
      </c>
      <c r="B23" s="1" t="str">
        <f t="shared" si="0"/>
        <v>2DA0</v>
      </c>
      <c r="C23" t="s">
        <v>1049</v>
      </c>
      <c r="D23" t="s">
        <v>1060</v>
      </c>
      <c r="E23" t="str">
        <f t="shared" si="1"/>
        <v>pUmem_Sta_CmdPos(22)-&gt;i.user:$2DA0</v>
      </c>
    </row>
    <row r="24" spans="1:5" x14ac:dyDescent="0.3">
      <c r="A24" s="1">
        <v>11760</v>
      </c>
      <c r="B24" s="1" t="str">
        <f t="shared" si="0"/>
        <v>2DF0</v>
      </c>
      <c r="C24" t="s">
        <v>1050</v>
      </c>
      <c r="D24" t="s">
        <v>1060</v>
      </c>
      <c r="E24" t="str">
        <f t="shared" si="1"/>
        <v>pUmem_Sta_CmdPos(23)-&gt;i.user:$2DF0</v>
      </c>
    </row>
    <row r="25" spans="1:5" x14ac:dyDescent="0.3">
      <c r="A25" s="1">
        <v>11840</v>
      </c>
      <c r="B25" s="1" t="str">
        <f t="shared" si="0"/>
        <v>2E40</v>
      </c>
      <c r="C25" t="s">
        <v>1051</v>
      </c>
      <c r="D25" t="s">
        <v>1060</v>
      </c>
      <c r="E25" t="str">
        <f t="shared" si="1"/>
        <v>pUmem_Sta_CmdPos(24)-&gt;i.user:$2E40</v>
      </c>
    </row>
    <row r="26" spans="1:5" x14ac:dyDescent="0.3">
      <c r="A26" s="1">
        <v>11920</v>
      </c>
      <c r="B26" s="1" t="str">
        <f t="shared" si="0"/>
        <v>2E90</v>
      </c>
      <c r="C26" t="s">
        <v>1052</v>
      </c>
      <c r="D26" t="s">
        <v>1060</v>
      </c>
      <c r="E26" t="str">
        <f t="shared" si="1"/>
        <v>pUmem_Sta_CmdPos(25)-&gt;i.user:$2E90</v>
      </c>
    </row>
    <row r="27" spans="1:5" x14ac:dyDescent="0.3">
      <c r="A27" s="1">
        <v>12000</v>
      </c>
      <c r="B27" s="1" t="str">
        <f t="shared" si="0"/>
        <v>2EE0</v>
      </c>
      <c r="C27" t="s">
        <v>1053</v>
      </c>
      <c r="D27" t="s">
        <v>1060</v>
      </c>
      <c r="E27" t="str">
        <f t="shared" si="1"/>
        <v>pUmem_Sta_CmdPos(26)-&gt;i.user:$2EE0</v>
      </c>
    </row>
    <row r="28" spans="1:5" x14ac:dyDescent="0.3">
      <c r="A28" s="1">
        <v>12080</v>
      </c>
      <c r="B28" s="1" t="str">
        <f t="shared" si="0"/>
        <v>2F30</v>
      </c>
      <c r="C28" t="s">
        <v>1054</v>
      </c>
      <c r="D28" t="s">
        <v>1060</v>
      </c>
      <c r="E28" t="str">
        <f t="shared" si="1"/>
        <v>pUmem_Sta_CmdPos(27)-&gt;i.user:$2F30</v>
      </c>
    </row>
    <row r="29" spans="1:5" x14ac:dyDescent="0.3">
      <c r="A29" s="1">
        <v>12160</v>
      </c>
      <c r="B29" s="1" t="str">
        <f t="shared" si="0"/>
        <v>2F80</v>
      </c>
      <c r="C29" t="s">
        <v>1055</v>
      </c>
      <c r="D29" t="s">
        <v>1060</v>
      </c>
      <c r="E29" t="str">
        <f t="shared" si="1"/>
        <v>pUmem_Sta_CmdPos(28)-&gt;i.user:$2F80</v>
      </c>
    </row>
    <row r="30" spans="1:5" x14ac:dyDescent="0.3">
      <c r="A30" s="1">
        <v>12240</v>
      </c>
      <c r="B30" s="1" t="str">
        <f t="shared" si="0"/>
        <v>2FD0</v>
      </c>
      <c r="C30" t="s">
        <v>1056</v>
      </c>
      <c r="D30" t="s">
        <v>1060</v>
      </c>
      <c r="E30" t="str">
        <f t="shared" si="1"/>
        <v>pUmem_Sta_CmdPos(29)-&gt;i.user:$2FD0</v>
      </c>
    </row>
    <row r="31" spans="1:5" x14ac:dyDescent="0.3">
      <c r="A31" s="1">
        <v>12320</v>
      </c>
      <c r="B31" s="1" t="str">
        <f t="shared" si="0"/>
        <v>3020</v>
      </c>
      <c r="C31" t="s">
        <v>1057</v>
      </c>
      <c r="D31" t="s">
        <v>1060</v>
      </c>
      <c r="E31" t="str">
        <f t="shared" si="1"/>
        <v>pUmem_Sta_CmdPos(30)-&gt;i.user:$3020</v>
      </c>
    </row>
    <row r="32" spans="1:5" x14ac:dyDescent="0.3">
      <c r="A32" s="1">
        <v>12400</v>
      </c>
      <c r="B32" s="1" t="str">
        <f t="shared" si="0"/>
        <v>3070</v>
      </c>
      <c r="C32" t="s">
        <v>1058</v>
      </c>
      <c r="D32" t="s">
        <v>1060</v>
      </c>
      <c r="E32" t="str">
        <f t="shared" si="1"/>
        <v>pUmem_Sta_CmdPos(31)-&gt;i.user:$3070</v>
      </c>
    </row>
    <row r="33" spans="1:5" x14ac:dyDescent="0.3">
      <c r="A33" s="1">
        <v>12480</v>
      </c>
      <c r="B33" s="1" t="str">
        <f t="shared" si="0"/>
        <v>30C0</v>
      </c>
      <c r="C33" t="s">
        <v>1059</v>
      </c>
      <c r="D33" t="s">
        <v>1060</v>
      </c>
      <c r="E33" t="str">
        <f t="shared" si="1"/>
        <v>pUmem_Sta_CmdPos(32)-&gt;i.user:$30C0</v>
      </c>
    </row>
    <row r="35" spans="1:5" x14ac:dyDescent="0.3">
      <c r="A35" s="1">
        <v>10004</v>
      </c>
      <c r="B35" s="1" t="str">
        <f>DEC2HEX(A35)</f>
        <v>2714</v>
      </c>
      <c r="C35" t="s">
        <v>1061</v>
      </c>
      <c r="D35" t="s">
        <v>1060</v>
      </c>
      <c r="E35" t="str">
        <f>C35&amp;D35&amp;B35</f>
        <v>pUmem_Sta_ActPos(01)-&gt;i.user:$2714</v>
      </c>
    </row>
    <row r="36" spans="1:5" x14ac:dyDescent="0.3">
      <c r="A36" s="1">
        <v>10084</v>
      </c>
      <c r="B36" s="1" t="str">
        <f t="shared" ref="B36:B66" si="2">DEC2HEX(A36)</f>
        <v>2764</v>
      </c>
      <c r="C36" t="s">
        <v>1478</v>
      </c>
      <c r="D36" t="s">
        <v>1060</v>
      </c>
      <c r="E36" t="str">
        <f t="shared" ref="E36:E66" si="3">C36&amp;D36&amp;B36</f>
        <v>pUmem_Sta_ActPos(02)-&gt;i.user:$2764</v>
      </c>
    </row>
    <row r="37" spans="1:5" x14ac:dyDescent="0.3">
      <c r="A37" s="1">
        <v>10160</v>
      </c>
      <c r="B37" s="1" t="str">
        <f t="shared" si="2"/>
        <v>27B0</v>
      </c>
      <c r="C37" t="s">
        <v>1479</v>
      </c>
      <c r="D37" t="s">
        <v>1060</v>
      </c>
      <c r="E37" t="str">
        <f t="shared" si="3"/>
        <v>pUmem_Sta_ActPos(03)-&gt;i.user:$27B0</v>
      </c>
    </row>
    <row r="38" spans="1:5" x14ac:dyDescent="0.3">
      <c r="A38" s="1">
        <v>10240</v>
      </c>
      <c r="B38" s="1" t="str">
        <f t="shared" si="2"/>
        <v>2800</v>
      </c>
      <c r="C38" t="s">
        <v>1480</v>
      </c>
      <c r="D38" t="s">
        <v>1060</v>
      </c>
      <c r="E38" t="str">
        <f t="shared" si="3"/>
        <v>pUmem_Sta_ActPos(04)-&gt;i.user:$2800</v>
      </c>
    </row>
    <row r="39" spans="1:5" x14ac:dyDescent="0.3">
      <c r="A39" s="1">
        <v>10320</v>
      </c>
      <c r="B39" s="1" t="str">
        <f t="shared" si="2"/>
        <v>2850</v>
      </c>
      <c r="C39" t="s">
        <v>1481</v>
      </c>
      <c r="D39" t="s">
        <v>1060</v>
      </c>
      <c r="E39" t="str">
        <f t="shared" si="3"/>
        <v>pUmem_Sta_ActPos(05)-&gt;i.user:$2850</v>
      </c>
    </row>
    <row r="40" spans="1:5" x14ac:dyDescent="0.3">
      <c r="A40" s="1">
        <v>10400</v>
      </c>
      <c r="B40" s="1" t="str">
        <f t="shared" si="2"/>
        <v>28A0</v>
      </c>
      <c r="C40" t="s">
        <v>1482</v>
      </c>
      <c r="D40" t="s">
        <v>1060</v>
      </c>
      <c r="E40" t="str">
        <f t="shared" si="3"/>
        <v>pUmem_Sta_ActPos(06)-&gt;i.user:$28A0</v>
      </c>
    </row>
    <row r="41" spans="1:5" x14ac:dyDescent="0.3">
      <c r="A41" s="1">
        <v>10480</v>
      </c>
      <c r="B41" s="1" t="str">
        <f t="shared" si="2"/>
        <v>28F0</v>
      </c>
      <c r="C41" t="s">
        <v>1483</v>
      </c>
      <c r="D41" t="s">
        <v>1060</v>
      </c>
      <c r="E41" t="str">
        <f t="shared" si="3"/>
        <v>pUmem_Sta_ActPos(07)-&gt;i.user:$28F0</v>
      </c>
    </row>
    <row r="42" spans="1:5" x14ac:dyDescent="0.3">
      <c r="A42" s="1">
        <v>10560</v>
      </c>
      <c r="B42" s="1" t="str">
        <f t="shared" si="2"/>
        <v>2940</v>
      </c>
      <c r="C42" t="s">
        <v>1484</v>
      </c>
      <c r="D42" t="s">
        <v>1060</v>
      </c>
      <c r="E42" t="str">
        <f t="shared" si="3"/>
        <v>pUmem_Sta_ActPos(08)-&gt;i.user:$2940</v>
      </c>
    </row>
    <row r="43" spans="1:5" x14ac:dyDescent="0.3">
      <c r="A43" s="1">
        <v>10640</v>
      </c>
      <c r="B43" s="1" t="str">
        <f t="shared" si="2"/>
        <v>2990</v>
      </c>
      <c r="C43" t="s">
        <v>1485</v>
      </c>
      <c r="D43" t="s">
        <v>1060</v>
      </c>
      <c r="E43" t="str">
        <f t="shared" si="3"/>
        <v>pUmem_Sta_ActPos(09)-&gt;i.user:$2990</v>
      </c>
    </row>
    <row r="44" spans="1:5" x14ac:dyDescent="0.3">
      <c r="A44" s="1">
        <v>10720</v>
      </c>
      <c r="B44" s="1" t="str">
        <f t="shared" si="2"/>
        <v>29E0</v>
      </c>
      <c r="C44" t="s">
        <v>1486</v>
      </c>
      <c r="D44" t="s">
        <v>1060</v>
      </c>
      <c r="E44" t="str">
        <f t="shared" si="3"/>
        <v>pUmem_Sta_ActPos(10)-&gt;i.user:$29E0</v>
      </c>
    </row>
    <row r="45" spans="1:5" x14ac:dyDescent="0.3">
      <c r="A45" s="1">
        <v>10800</v>
      </c>
      <c r="B45" s="1" t="str">
        <f t="shared" si="2"/>
        <v>2A30</v>
      </c>
      <c r="C45" t="s">
        <v>1487</v>
      </c>
      <c r="D45" t="s">
        <v>1060</v>
      </c>
      <c r="E45" t="str">
        <f t="shared" si="3"/>
        <v>pUmem_Sta_ActPos(11)-&gt;i.user:$2A30</v>
      </c>
    </row>
    <row r="46" spans="1:5" x14ac:dyDescent="0.3">
      <c r="A46" s="1">
        <v>10880</v>
      </c>
      <c r="B46" s="1" t="str">
        <f t="shared" si="2"/>
        <v>2A80</v>
      </c>
      <c r="C46" t="s">
        <v>1488</v>
      </c>
      <c r="D46" t="s">
        <v>1060</v>
      </c>
      <c r="E46" t="str">
        <f t="shared" si="3"/>
        <v>pUmem_Sta_ActPos(12)-&gt;i.user:$2A80</v>
      </c>
    </row>
    <row r="47" spans="1:5" x14ac:dyDescent="0.3">
      <c r="A47" s="1">
        <v>10960</v>
      </c>
      <c r="B47" s="1" t="str">
        <f t="shared" si="2"/>
        <v>2AD0</v>
      </c>
      <c r="C47" t="s">
        <v>1489</v>
      </c>
      <c r="D47" t="s">
        <v>1060</v>
      </c>
      <c r="E47" t="str">
        <f t="shared" si="3"/>
        <v>pUmem_Sta_ActPos(13)-&gt;i.user:$2AD0</v>
      </c>
    </row>
    <row r="48" spans="1:5" x14ac:dyDescent="0.3">
      <c r="A48" s="1">
        <v>11040</v>
      </c>
      <c r="B48" s="1" t="str">
        <f t="shared" si="2"/>
        <v>2B20</v>
      </c>
      <c r="C48" t="s">
        <v>1490</v>
      </c>
      <c r="D48" t="s">
        <v>1060</v>
      </c>
      <c r="E48" t="str">
        <f t="shared" si="3"/>
        <v>pUmem_Sta_ActPos(14)-&gt;i.user:$2B20</v>
      </c>
    </row>
    <row r="49" spans="1:5" x14ac:dyDescent="0.3">
      <c r="A49" s="1">
        <v>11120</v>
      </c>
      <c r="B49" s="1" t="str">
        <f t="shared" si="2"/>
        <v>2B70</v>
      </c>
      <c r="C49" t="s">
        <v>1491</v>
      </c>
      <c r="D49" t="s">
        <v>1060</v>
      </c>
      <c r="E49" t="str">
        <f t="shared" si="3"/>
        <v>pUmem_Sta_ActPos(15)-&gt;i.user:$2B70</v>
      </c>
    </row>
    <row r="50" spans="1:5" x14ac:dyDescent="0.3">
      <c r="A50" s="1">
        <v>11200</v>
      </c>
      <c r="B50" s="1" t="str">
        <f t="shared" si="2"/>
        <v>2BC0</v>
      </c>
      <c r="C50" t="s">
        <v>1492</v>
      </c>
      <c r="D50" t="s">
        <v>1060</v>
      </c>
      <c r="E50" t="str">
        <f t="shared" si="3"/>
        <v>pUmem_Sta_ActPos(16)-&gt;i.user:$2BC0</v>
      </c>
    </row>
    <row r="51" spans="1:5" x14ac:dyDescent="0.3">
      <c r="A51" s="1">
        <v>11280</v>
      </c>
      <c r="B51" s="1" t="str">
        <f t="shared" si="2"/>
        <v>2C10</v>
      </c>
      <c r="C51" t="s">
        <v>1493</v>
      </c>
      <c r="D51" t="s">
        <v>1060</v>
      </c>
      <c r="E51" t="str">
        <f t="shared" si="3"/>
        <v>pUmem_Sta_ActPos(17)-&gt;i.user:$2C10</v>
      </c>
    </row>
    <row r="52" spans="1:5" x14ac:dyDescent="0.3">
      <c r="A52" s="1">
        <v>11360</v>
      </c>
      <c r="B52" s="1" t="str">
        <f t="shared" si="2"/>
        <v>2C60</v>
      </c>
      <c r="C52" t="s">
        <v>1494</v>
      </c>
      <c r="D52" t="s">
        <v>1060</v>
      </c>
      <c r="E52" t="str">
        <f t="shared" si="3"/>
        <v>pUmem_Sta_ActPos(18)-&gt;i.user:$2C60</v>
      </c>
    </row>
    <row r="53" spans="1:5" x14ac:dyDescent="0.3">
      <c r="A53" s="1">
        <v>11440</v>
      </c>
      <c r="B53" s="1" t="str">
        <f t="shared" si="2"/>
        <v>2CB0</v>
      </c>
      <c r="C53" t="s">
        <v>1495</v>
      </c>
      <c r="D53" t="s">
        <v>1060</v>
      </c>
      <c r="E53" t="str">
        <f t="shared" si="3"/>
        <v>pUmem_Sta_ActPos(19)-&gt;i.user:$2CB0</v>
      </c>
    </row>
    <row r="54" spans="1:5" x14ac:dyDescent="0.3">
      <c r="A54" s="1">
        <v>11520</v>
      </c>
      <c r="B54" s="1" t="str">
        <f t="shared" si="2"/>
        <v>2D00</v>
      </c>
      <c r="C54" t="s">
        <v>1496</v>
      </c>
      <c r="D54" t="s">
        <v>1060</v>
      </c>
      <c r="E54" t="str">
        <f t="shared" si="3"/>
        <v>pUmem_Sta_ActPos(20)-&gt;i.user:$2D00</v>
      </c>
    </row>
    <row r="55" spans="1:5" x14ac:dyDescent="0.3">
      <c r="A55" s="1">
        <v>11600</v>
      </c>
      <c r="B55" s="1" t="str">
        <f t="shared" si="2"/>
        <v>2D50</v>
      </c>
      <c r="C55" t="s">
        <v>1497</v>
      </c>
      <c r="D55" t="s">
        <v>1060</v>
      </c>
      <c r="E55" t="str">
        <f t="shared" si="3"/>
        <v>pUmem_Sta_ActPos(21)-&gt;i.user:$2D50</v>
      </c>
    </row>
    <row r="56" spans="1:5" x14ac:dyDescent="0.3">
      <c r="A56" s="1">
        <v>11680</v>
      </c>
      <c r="B56" s="1" t="str">
        <f t="shared" si="2"/>
        <v>2DA0</v>
      </c>
      <c r="C56" t="s">
        <v>1498</v>
      </c>
      <c r="D56" t="s">
        <v>1060</v>
      </c>
      <c r="E56" t="str">
        <f t="shared" si="3"/>
        <v>pUmem_Sta_ActPos(22)-&gt;i.user:$2DA0</v>
      </c>
    </row>
    <row r="57" spans="1:5" x14ac:dyDescent="0.3">
      <c r="A57" s="1">
        <v>11760</v>
      </c>
      <c r="B57" s="1" t="str">
        <f t="shared" si="2"/>
        <v>2DF0</v>
      </c>
      <c r="C57" t="s">
        <v>1499</v>
      </c>
      <c r="D57" t="s">
        <v>1060</v>
      </c>
      <c r="E57" t="str">
        <f t="shared" si="3"/>
        <v>pUmem_Sta_ActPos(23)-&gt;i.user:$2DF0</v>
      </c>
    </row>
    <row r="58" spans="1:5" x14ac:dyDescent="0.3">
      <c r="A58" s="1">
        <v>11840</v>
      </c>
      <c r="B58" s="1" t="str">
        <f t="shared" si="2"/>
        <v>2E40</v>
      </c>
      <c r="C58" t="s">
        <v>1500</v>
      </c>
      <c r="D58" t="s">
        <v>1060</v>
      </c>
      <c r="E58" t="str">
        <f t="shared" si="3"/>
        <v>pUmem_Sta_ActPos(24)-&gt;i.user:$2E40</v>
      </c>
    </row>
    <row r="59" spans="1:5" x14ac:dyDescent="0.3">
      <c r="A59" s="1">
        <v>11920</v>
      </c>
      <c r="B59" s="1" t="str">
        <f t="shared" si="2"/>
        <v>2E90</v>
      </c>
      <c r="C59" t="s">
        <v>1501</v>
      </c>
      <c r="D59" t="s">
        <v>1060</v>
      </c>
      <c r="E59" t="str">
        <f t="shared" si="3"/>
        <v>pUmem_Sta_ActPos(25)-&gt;i.user:$2E90</v>
      </c>
    </row>
    <row r="60" spans="1:5" x14ac:dyDescent="0.3">
      <c r="A60" s="1">
        <v>12000</v>
      </c>
      <c r="B60" s="1" t="str">
        <f t="shared" si="2"/>
        <v>2EE0</v>
      </c>
      <c r="C60" t="s">
        <v>1502</v>
      </c>
      <c r="D60" t="s">
        <v>1060</v>
      </c>
      <c r="E60" t="str">
        <f t="shared" si="3"/>
        <v>pUmem_Sta_ActPos(26)-&gt;i.user:$2EE0</v>
      </c>
    </row>
    <row r="61" spans="1:5" x14ac:dyDescent="0.3">
      <c r="A61" s="1">
        <v>12080</v>
      </c>
      <c r="B61" s="1" t="str">
        <f t="shared" si="2"/>
        <v>2F30</v>
      </c>
      <c r="C61" t="s">
        <v>1503</v>
      </c>
      <c r="D61" t="s">
        <v>1060</v>
      </c>
      <c r="E61" t="str">
        <f t="shared" si="3"/>
        <v>pUmem_Sta_ActPos(27)-&gt;i.user:$2F30</v>
      </c>
    </row>
    <row r="62" spans="1:5" x14ac:dyDescent="0.3">
      <c r="A62" s="1">
        <v>12160</v>
      </c>
      <c r="B62" s="1" t="str">
        <f t="shared" si="2"/>
        <v>2F80</v>
      </c>
      <c r="C62" t="s">
        <v>1504</v>
      </c>
      <c r="D62" t="s">
        <v>1060</v>
      </c>
      <c r="E62" t="str">
        <f t="shared" si="3"/>
        <v>pUmem_Sta_ActPos(28)-&gt;i.user:$2F80</v>
      </c>
    </row>
    <row r="63" spans="1:5" x14ac:dyDescent="0.3">
      <c r="A63" s="1">
        <v>12240</v>
      </c>
      <c r="B63" s="1" t="str">
        <f t="shared" si="2"/>
        <v>2FD0</v>
      </c>
      <c r="C63" t="s">
        <v>1505</v>
      </c>
      <c r="D63" t="s">
        <v>1060</v>
      </c>
      <c r="E63" t="str">
        <f t="shared" si="3"/>
        <v>pUmem_Sta_ActPos(29)-&gt;i.user:$2FD0</v>
      </c>
    </row>
    <row r="64" spans="1:5" x14ac:dyDescent="0.3">
      <c r="A64" s="1">
        <v>12320</v>
      </c>
      <c r="B64" s="1" t="str">
        <f t="shared" si="2"/>
        <v>3020</v>
      </c>
      <c r="C64" t="s">
        <v>1506</v>
      </c>
      <c r="D64" t="s">
        <v>1060</v>
      </c>
      <c r="E64" t="str">
        <f t="shared" si="3"/>
        <v>pUmem_Sta_ActPos(30)-&gt;i.user:$3020</v>
      </c>
    </row>
    <row r="65" spans="1:5" x14ac:dyDescent="0.3">
      <c r="A65" s="1">
        <v>12400</v>
      </c>
      <c r="B65" s="1" t="str">
        <f t="shared" si="2"/>
        <v>3070</v>
      </c>
      <c r="C65" t="s">
        <v>1507</v>
      </c>
      <c r="D65" t="s">
        <v>1060</v>
      </c>
      <c r="E65" t="str">
        <f t="shared" si="3"/>
        <v>pUmem_Sta_ActPos(31)-&gt;i.user:$3070</v>
      </c>
    </row>
    <row r="66" spans="1:5" x14ac:dyDescent="0.3">
      <c r="A66" s="1">
        <v>12480</v>
      </c>
      <c r="B66" s="1" t="str">
        <f t="shared" si="2"/>
        <v>30C0</v>
      </c>
      <c r="C66" t="s">
        <v>1508</v>
      </c>
      <c r="D66" t="s">
        <v>1060</v>
      </c>
      <c r="E66" t="str">
        <f t="shared" si="3"/>
        <v>pUmem_Sta_ActPos(32)-&gt;i.user:$30C0</v>
      </c>
    </row>
    <row r="68" spans="1:5" x14ac:dyDescent="0.3">
      <c r="A68" s="1">
        <v>10008</v>
      </c>
      <c r="B68" s="1" t="str">
        <f>DEC2HEX(A68)</f>
        <v>2718</v>
      </c>
      <c r="C68" t="s">
        <v>1062</v>
      </c>
      <c r="D68" t="s">
        <v>1060</v>
      </c>
      <c r="E68" t="str">
        <f>C68&amp;D68&amp;B68</f>
        <v>pUmem_Sta_Velocity(01)-&gt;i.user:$2718</v>
      </c>
    </row>
    <row r="69" spans="1:5" x14ac:dyDescent="0.3">
      <c r="A69" s="1">
        <v>10088</v>
      </c>
      <c r="B69" s="1" t="str">
        <f t="shared" ref="B69:B99" si="4">DEC2HEX(A69)</f>
        <v>2768</v>
      </c>
      <c r="C69" t="s">
        <v>1447</v>
      </c>
      <c r="D69" t="s">
        <v>1060</v>
      </c>
      <c r="E69" t="str">
        <f t="shared" ref="E69:E99" si="5">C69&amp;D69&amp;B69</f>
        <v>pUmem_Sta_Velocity(02)-&gt;i.user:$2768</v>
      </c>
    </row>
    <row r="70" spans="1:5" x14ac:dyDescent="0.3">
      <c r="A70" s="1">
        <v>10168</v>
      </c>
      <c r="B70" s="1" t="str">
        <f t="shared" si="4"/>
        <v>27B8</v>
      </c>
      <c r="C70" t="s">
        <v>1448</v>
      </c>
      <c r="D70" t="s">
        <v>1060</v>
      </c>
      <c r="E70" t="str">
        <f t="shared" si="5"/>
        <v>pUmem_Sta_Velocity(03)-&gt;i.user:$27B8</v>
      </c>
    </row>
    <row r="71" spans="1:5" x14ac:dyDescent="0.3">
      <c r="A71" s="1">
        <v>10248</v>
      </c>
      <c r="B71" s="1" t="str">
        <f t="shared" si="4"/>
        <v>2808</v>
      </c>
      <c r="C71" t="s">
        <v>1449</v>
      </c>
      <c r="D71" t="s">
        <v>1060</v>
      </c>
      <c r="E71" t="str">
        <f t="shared" si="5"/>
        <v>pUmem_Sta_Velocity(04)-&gt;i.user:$2808</v>
      </c>
    </row>
    <row r="72" spans="1:5" x14ac:dyDescent="0.3">
      <c r="A72" s="1">
        <v>10328</v>
      </c>
      <c r="B72" s="1" t="str">
        <f t="shared" si="4"/>
        <v>2858</v>
      </c>
      <c r="C72" t="s">
        <v>1450</v>
      </c>
      <c r="D72" t="s">
        <v>1060</v>
      </c>
      <c r="E72" t="str">
        <f t="shared" si="5"/>
        <v>pUmem_Sta_Velocity(05)-&gt;i.user:$2858</v>
      </c>
    </row>
    <row r="73" spans="1:5" x14ac:dyDescent="0.3">
      <c r="A73" s="1">
        <v>10408</v>
      </c>
      <c r="B73" s="1" t="str">
        <f t="shared" si="4"/>
        <v>28A8</v>
      </c>
      <c r="C73" t="s">
        <v>1451</v>
      </c>
      <c r="D73" t="s">
        <v>1060</v>
      </c>
      <c r="E73" t="str">
        <f t="shared" si="5"/>
        <v>pUmem_Sta_Velocity(06)-&gt;i.user:$28A8</v>
      </c>
    </row>
    <row r="74" spans="1:5" x14ac:dyDescent="0.3">
      <c r="A74" s="1">
        <v>10488</v>
      </c>
      <c r="B74" s="1" t="str">
        <f t="shared" si="4"/>
        <v>28F8</v>
      </c>
      <c r="C74" t="s">
        <v>1452</v>
      </c>
      <c r="D74" t="s">
        <v>1060</v>
      </c>
      <c r="E74" t="str">
        <f t="shared" si="5"/>
        <v>pUmem_Sta_Velocity(07)-&gt;i.user:$28F8</v>
      </c>
    </row>
    <row r="75" spans="1:5" x14ac:dyDescent="0.3">
      <c r="A75" s="1">
        <v>10568</v>
      </c>
      <c r="B75" s="1" t="str">
        <f t="shared" si="4"/>
        <v>2948</v>
      </c>
      <c r="C75" t="s">
        <v>1453</v>
      </c>
      <c r="D75" t="s">
        <v>1060</v>
      </c>
      <c r="E75" t="str">
        <f t="shared" si="5"/>
        <v>pUmem_Sta_Velocity(08)-&gt;i.user:$2948</v>
      </c>
    </row>
    <row r="76" spans="1:5" x14ac:dyDescent="0.3">
      <c r="A76" s="1">
        <v>10648</v>
      </c>
      <c r="B76" s="1" t="str">
        <f t="shared" si="4"/>
        <v>2998</v>
      </c>
      <c r="C76" t="s">
        <v>1454</v>
      </c>
      <c r="D76" t="s">
        <v>1060</v>
      </c>
      <c r="E76" t="str">
        <f t="shared" si="5"/>
        <v>pUmem_Sta_Velocity(09)-&gt;i.user:$2998</v>
      </c>
    </row>
    <row r="77" spans="1:5" x14ac:dyDescent="0.3">
      <c r="A77" s="1">
        <v>10728</v>
      </c>
      <c r="B77" s="1" t="str">
        <f t="shared" si="4"/>
        <v>29E8</v>
      </c>
      <c r="C77" t="s">
        <v>1455</v>
      </c>
      <c r="D77" t="s">
        <v>1060</v>
      </c>
      <c r="E77" t="str">
        <f t="shared" si="5"/>
        <v>pUmem_Sta_Velocity(10)-&gt;i.user:$29E8</v>
      </c>
    </row>
    <row r="78" spans="1:5" x14ac:dyDescent="0.3">
      <c r="A78" s="1">
        <v>10808</v>
      </c>
      <c r="B78" s="1" t="str">
        <f t="shared" si="4"/>
        <v>2A38</v>
      </c>
      <c r="C78" t="s">
        <v>1456</v>
      </c>
      <c r="D78" t="s">
        <v>1060</v>
      </c>
      <c r="E78" t="str">
        <f t="shared" si="5"/>
        <v>pUmem_Sta_Velocity(11)-&gt;i.user:$2A38</v>
      </c>
    </row>
    <row r="79" spans="1:5" x14ac:dyDescent="0.3">
      <c r="A79" s="1">
        <v>10888</v>
      </c>
      <c r="B79" s="1" t="str">
        <f t="shared" si="4"/>
        <v>2A88</v>
      </c>
      <c r="C79" t="s">
        <v>1457</v>
      </c>
      <c r="D79" t="s">
        <v>1060</v>
      </c>
      <c r="E79" t="str">
        <f t="shared" si="5"/>
        <v>pUmem_Sta_Velocity(12)-&gt;i.user:$2A88</v>
      </c>
    </row>
    <row r="80" spans="1:5" x14ac:dyDescent="0.3">
      <c r="A80" s="1">
        <v>10968</v>
      </c>
      <c r="B80" s="1" t="str">
        <f t="shared" si="4"/>
        <v>2AD8</v>
      </c>
      <c r="C80" t="s">
        <v>1458</v>
      </c>
      <c r="D80" t="s">
        <v>1060</v>
      </c>
      <c r="E80" t="str">
        <f t="shared" si="5"/>
        <v>pUmem_Sta_Velocity(13)-&gt;i.user:$2AD8</v>
      </c>
    </row>
    <row r="81" spans="1:5" x14ac:dyDescent="0.3">
      <c r="A81" s="1">
        <v>11048</v>
      </c>
      <c r="B81" s="1" t="str">
        <f t="shared" si="4"/>
        <v>2B28</v>
      </c>
      <c r="C81" t="s">
        <v>1459</v>
      </c>
      <c r="D81" t="s">
        <v>1060</v>
      </c>
      <c r="E81" t="str">
        <f t="shared" si="5"/>
        <v>pUmem_Sta_Velocity(14)-&gt;i.user:$2B28</v>
      </c>
    </row>
    <row r="82" spans="1:5" x14ac:dyDescent="0.3">
      <c r="A82" s="1">
        <v>11128</v>
      </c>
      <c r="B82" s="1" t="str">
        <f t="shared" si="4"/>
        <v>2B78</v>
      </c>
      <c r="C82" t="s">
        <v>1460</v>
      </c>
      <c r="D82" t="s">
        <v>1060</v>
      </c>
      <c r="E82" t="str">
        <f t="shared" si="5"/>
        <v>pUmem_Sta_Velocity(15)-&gt;i.user:$2B78</v>
      </c>
    </row>
    <row r="83" spans="1:5" x14ac:dyDescent="0.3">
      <c r="A83" s="1">
        <v>11208</v>
      </c>
      <c r="B83" s="1" t="str">
        <f t="shared" si="4"/>
        <v>2BC8</v>
      </c>
      <c r="C83" t="s">
        <v>1461</v>
      </c>
      <c r="D83" t="s">
        <v>1060</v>
      </c>
      <c r="E83" t="str">
        <f t="shared" si="5"/>
        <v>pUmem_Sta_Velocity(16)-&gt;i.user:$2BC8</v>
      </c>
    </row>
    <row r="84" spans="1:5" x14ac:dyDescent="0.3">
      <c r="A84" s="1">
        <v>11288</v>
      </c>
      <c r="B84" s="1" t="str">
        <f t="shared" si="4"/>
        <v>2C18</v>
      </c>
      <c r="C84" t="s">
        <v>1462</v>
      </c>
      <c r="D84" t="s">
        <v>1060</v>
      </c>
      <c r="E84" t="str">
        <f t="shared" si="5"/>
        <v>pUmem_Sta_Velocity(17)-&gt;i.user:$2C18</v>
      </c>
    </row>
    <row r="85" spans="1:5" x14ac:dyDescent="0.3">
      <c r="A85" s="1">
        <v>11368</v>
      </c>
      <c r="B85" s="1" t="str">
        <f t="shared" si="4"/>
        <v>2C68</v>
      </c>
      <c r="C85" t="s">
        <v>1463</v>
      </c>
      <c r="D85" t="s">
        <v>1060</v>
      </c>
      <c r="E85" t="str">
        <f t="shared" si="5"/>
        <v>pUmem_Sta_Velocity(18)-&gt;i.user:$2C68</v>
      </c>
    </row>
    <row r="86" spans="1:5" x14ac:dyDescent="0.3">
      <c r="A86" s="1">
        <v>11448</v>
      </c>
      <c r="B86" s="1" t="str">
        <f t="shared" si="4"/>
        <v>2CB8</v>
      </c>
      <c r="C86" t="s">
        <v>1464</v>
      </c>
      <c r="D86" t="s">
        <v>1060</v>
      </c>
      <c r="E86" t="str">
        <f t="shared" si="5"/>
        <v>pUmem_Sta_Velocity(19)-&gt;i.user:$2CB8</v>
      </c>
    </row>
    <row r="87" spans="1:5" x14ac:dyDescent="0.3">
      <c r="A87" s="1">
        <v>11528</v>
      </c>
      <c r="B87" s="1" t="str">
        <f t="shared" si="4"/>
        <v>2D08</v>
      </c>
      <c r="C87" t="s">
        <v>1465</v>
      </c>
      <c r="D87" t="s">
        <v>1060</v>
      </c>
      <c r="E87" t="str">
        <f t="shared" si="5"/>
        <v>pUmem_Sta_Velocity(20)-&gt;i.user:$2D08</v>
      </c>
    </row>
    <row r="88" spans="1:5" x14ac:dyDescent="0.3">
      <c r="A88" s="1">
        <v>11608</v>
      </c>
      <c r="B88" s="1" t="str">
        <f t="shared" si="4"/>
        <v>2D58</v>
      </c>
      <c r="C88" t="s">
        <v>1466</v>
      </c>
      <c r="D88" t="s">
        <v>1060</v>
      </c>
      <c r="E88" t="str">
        <f t="shared" si="5"/>
        <v>pUmem_Sta_Velocity(21)-&gt;i.user:$2D58</v>
      </c>
    </row>
    <row r="89" spans="1:5" x14ac:dyDescent="0.3">
      <c r="A89" s="1">
        <v>11688</v>
      </c>
      <c r="B89" s="1" t="str">
        <f t="shared" si="4"/>
        <v>2DA8</v>
      </c>
      <c r="C89" t="s">
        <v>1467</v>
      </c>
      <c r="D89" t="s">
        <v>1060</v>
      </c>
      <c r="E89" t="str">
        <f t="shared" si="5"/>
        <v>pUmem_Sta_Velocity(22)-&gt;i.user:$2DA8</v>
      </c>
    </row>
    <row r="90" spans="1:5" x14ac:dyDescent="0.3">
      <c r="A90" s="1">
        <v>11768</v>
      </c>
      <c r="B90" s="1" t="str">
        <f t="shared" si="4"/>
        <v>2DF8</v>
      </c>
      <c r="C90" t="s">
        <v>1468</v>
      </c>
      <c r="D90" t="s">
        <v>1060</v>
      </c>
      <c r="E90" t="str">
        <f t="shared" si="5"/>
        <v>pUmem_Sta_Velocity(23)-&gt;i.user:$2DF8</v>
      </c>
    </row>
    <row r="91" spans="1:5" x14ac:dyDescent="0.3">
      <c r="A91" s="1">
        <v>11848</v>
      </c>
      <c r="B91" s="1" t="str">
        <f t="shared" si="4"/>
        <v>2E48</v>
      </c>
      <c r="C91" t="s">
        <v>1469</v>
      </c>
      <c r="D91" t="s">
        <v>1060</v>
      </c>
      <c r="E91" t="str">
        <f t="shared" si="5"/>
        <v>pUmem_Sta_Velocity(24)-&gt;i.user:$2E48</v>
      </c>
    </row>
    <row r="92" spans="1:5" x14ac:dyDescent="0.3">
      <c r="A92" s="1">
        <v>11928</v>
      </c>
      <c r="B92" s="1" t="str">
        <f t="shared" si="4"/>
        <v>2E98</v>
      </c>
      <c r="C92" t="s">
        <v>1470</v>
      </c>
      <c r="D92" t="s">
        <v>1060</v>
      </c>
      <c r="E92" t="str">
        <f t="shared" si="5"/>
        <v>pUmem_Sta_Velocity(25)-&gt;i.user:$2E98</v>
      </c>
    </row>
    <row r="93" spans="1:5" x14ac:dyDescent="0.3">
      <c r="A93" s="1">
        <v>12008</v>
      </c>
      <c r="B93" s="1" t="str">
        <f t="shared" si="4"/>
        <v>2EE8</v>
      </c>
      <c r="C93" t="s">
        <v>1471</v>
      </c>
      <c r="D93" t="s">
        <v>1060</v>
      </c>
      <c r="E93" t="str">
        <f t="shared" si="5"/>
        <v>pUmem_Sta_Velocity(26)-&gt;i.user:$2EE8</v>
      </c>
    </row>
    <row r="94" spans="1:5" x14ac:dyDescent="0.3">
      <c r="A94" s="1">
        <v>12088</v>
      </c>
      <c r="B94" s="1" t="str">
        <f t="shared" si="4"/>
        <v>2F38</v>
      </c>
      <c r="C94" t="s">
        <v>1472</v>
      </c>
      <c r="D94" t="s">
        <v>1060</v>
      </c>
      <c r="E94" t="str">
        <f t="shared" si="5"/>
        <v>pUmem_Sta_Velocity(27)-&gt;i.user:$2F38</v>
      </c>
    </row>
    <row r="95" spans="1:5" x14ac:dyDescent="0.3">
      <c r="A95" s="1">
        <v>12168</v>
      </c>
      <c r="B95" s="1" t="str">
        <f t="shared" si="4"/>
        <v>2F88</v>
      </c>
      <c r="C95" t="s">
        <v>1473</v>
      </c>
      <c r="D95" t="s">
        <v>1060</v>
      </c>
      <c r="E95" t="str">
        <f t="shared" si="5"/>
        <v>pUmem_Sta_Velocity(28)-&gt;i.user:$2F88</v>
      </c>
    </row>
    <row r="96" spans="1:5" x14ac:dyDescent="0.3">
      <c r="A96" s="1">
        <v>12248</v>
      </c>
      <c r="B96" s="1" t="str">
        <f t="shared" si="4"/>
        <v>2FD8</v>
      </c>
      <c r="C96" t="s">
        <v>1474</v>
      </c>
      <c r="D96" t="s">
        <v>1060</v>
      </c>
      <c r="E96" t="str">
        <f t="shared" si="5"/>
        <v>pUmem_Sta_Velocity(29)-&gt;i.user:$2FD8</v>
      </c>
    </row>
    <row r="97" spans="1:5" x14ac:dyDescent="0.3">
      <c r="A97" s="1">
        <v>12328</v>
      </c>
      <c r="B97" s="1" t="str">
        <f t="shared" si="4"/>
        <v>3028</v>
      </c>
      <c r="C97" t="s">
        <v>1475</v>
      </c>
      <c r="D97" t="s">
        <v>1060</v>
      </c>
      <c r="E97" t="str">
        <f t="shared" si="5"/>
        <v>pUmem_Sta_Velocity(30)-&gt;i.user:$3028</v>
      </c>
    </row>
    <row r="98" spans="1:5" x14ac:dyDescent="0.3">
      <c r="A98" s="1">
        <v>12408</v>
      </c>
      <c r="B98" s="1" t="str">
        <f t="shared" si="4"/>
        <v>3078</v>
      </c>
      <c r="C98" t="s">
        <v>1476</v>
      </c>
      <c r="D98" t="s">
        <v>1060</v>
      </c>
      <c r="E98" t="str">
        <f t="shared" si="5"/>
        <v>pUmem_Sta_Velocity(31)-&gt;i.user:$3078</v>
      </c>
    </row>
    <row r="99" spans="1:5" x14ac:dyDescent="0.3">
      <c r="A99" s="1">
        <v>12488</v>
      </c>
      <c r="B99" s="1" t="str">
        <f t="shared" si="4"/>
        <v>30C8</v>
      </c>
      <c r="C99" t="s">
        <v>1477</v>
      </c>
      <c r="D99" t="s">
        <v>1060</v>
      </c>
      <c r="E99" t="str">
        <f t="shared" si="5"/>
        <v>pUmem_Sta_Velocity(32)-&gt;i.user:$30C8</v>
      </c>
    </row>
    <row r="101" spans="1:5" x14ac:dyDescent="0.3">
      <c r="A101" s="1">
        <v>10012</v>
      </c>
      <c r="B101" s="1" t="str">
        <f>DEC2HEX(A101)</f>
        <v>271C</v>
      </c>
      <c r="C101" t="s">
        <v>1063</v>
      </c>
      <c r="D101" t="s">
        <v>1060</v>
      </c>
      <c r="E101" t="str">
        <f>C101&amp;D101&amp;B101</f>
        <v>pUmem_Sta_Load(01)-&gt;i.user:$271C</v>
      </c>
    </row>
    <row r="102" spans="1:5" x14ac:dyDescent="0.3">
      <c r="A102" s="1">
        <v>10092</v>
      </c>
      <c r="B102" s="1" t="str">
        <f t="shared" ref="B102:B132" si="6">DEC2HEX(A102)</f>
        <v>276C</v>
      </c>
      <c r="C102" t="s">
        <v>1416</v>
      </c>
      <c r="D102" t="s">
        <v>1060</v>
      </c>
      <c r="E102" t="str">
        <f t="shared" ref="E102:E132" si="7">C102&amp;D102&amp;B102</f>
        <v>pUmem_Sta_Load(02)-&gt;i.user:$276C</v>
      </c>
    </row>
    <row r="103" spans="1:5" x14ac:dyDescent="0.3">
      <c r="A103" s="1">
        <v>10172</v>
      </c>
      <c r="B103" s="1" t="str">
        <f t="shared" si="6"/>
        <v>27BC</v>
      </c>
      <c r="C103" t="s">
        <v>1417</v>
      </c>
      <c r="D103" t="s">
        <v>1060</v>
      </c>
      <c r="E103" t="str">
        <f t="shared" si="7"/>
        <v>pUmem_Sta_Load(03)-&gt;i.user:$27BC</v>
      </c>
    </row>
    <row r="104" spans="1:5" x14ac:dyDescent="0.3">
      <c r="A104" s="1">
        <v>10252</v>
      </c>
      <c r="B104" s="1" t="str">
        <f t="shared" si="6"/>
        <v>280C</v>
      </c>
      <c r="C104" t="s">
        <v>1418</v>
      </c>
      <c r="D104" t="s">
        <v>1060</v>
      </c>
      <c r="E104" t="str">
        <f t="shared" si="7"/>
        <v>pUmem_Sta_Load(04)-&gt;i.user:$280C</v>
      </c>
    </row>
    <row r="105" spans="1:5" x14ac:dyDescent="0.3">
      <c r="A105" s="1">
        <v>10332</v>
      </c>
      <c r="B105" s="1" t="str">
        <f t="shared" si="6"/>
        <v>285C</v>
      </c>
      <c r="C105" t="s">
        <v>1419</v>
      </c>
      <c r="D105" t="s">
        <v>1060</v>
      </c>
      <c r="E105" t="str">
        <f t="shared" si="7"/>
        <v>pUmem_Sta_Load(05)-&gt;i.user:$285C</v>
      </c>
    </row>
    <row r="106" spans="1:5" x14ac:dyDescent="0.3">
      <c r="A106" s="1">
        <v>10412</v>
      </c>
      <c r="B106" s="1" t="str">
        <f t="shared" si="6"/>
        <v>28AC</v>
      </c>
      <c r="C106" t="s">
        <v>1420</v>
      </c>
      <c r="D106" t="s">
        <v>1060</v>
      </c>
      <c r="E106" t="str">
        <f t="shared" si="7"/>
        <v>pUmem_Sta_Load(06)-&gt;i.user:$28AC</v>
      </c>
    </row>
    <row r="107" spans="1:5" x14ac:dyDescent="0.3">
      <c r="A107" s="1">
        <v>10492</v>
      </c>
      <c r="B107" s="1" t="str">
        <f t="shared" si="6"/>
        <v>28FC</v>
      </c>
      <c r="C107" t="s">
        <v>1421</v>
      </c>
      <c r="D107" t="s">
        <v>1060</v>
      </c>
      <c r="E107" t="str">
        <f t="shared" si="7"/>
        <v>pUmem_Sta_Load(07)-&gt;i.user:$28FC</v>
      </c>
    </row>
    <row r="108" spans="1:5" x14ac:dyDescent="0.3">
      <c r="A108" s="1">
        <v>10572</v>
      </c>
      <c r="B108" s="1" t="str">
        <f t="shared" si="6"/>
        <v>294C</v>
      </c>
      <c r="C108" t="s">
        <v>1422</v>
      </c>
      <c r="D108" t="s">
        <v>1060</v>
      </c>
      <c r="E108" t="str">
        <f t="shared" si="7"/>
        <v>pUmem_Sta_Load(08)-&gt;i.user:$294C</v>
      </c>
    </row>
    <row r="109" spans="1:5" x14ac:dyDescent="0.3">
      <c r="A109" s="1">
        <v>10652</v>
      </c>
      <c r="B109" s="1" t="str">
        <f t="shared" si="6"/>
        <v>299C</v>
      </c>
      <c r="C109" t="s">
        <v>1423</v>
      </c>
      <c r="D109" t="s">
        <v>1060</v>
      </c>
      <c r="E109" t="str">
        <f t="shared" si="7"/>
        <v>pUmem_Sta_Load(09)-&gt;i.user:$299C</v>
      </c>
    </row>
    <row r="110" spans="1:5" x14ac:dyDescent="0.3">
      <c r="A110" s="1">
        <v>10732</v>
      </c>
      <c r="B110" s="1" t="str">
        <f t="shared" si="6"/>
        <v>29EC</v>
      </c>
      <c r="C110" t="s">
        <v>1424</v>
      </c>
      <c r="D110" t="s">
        <v>1060</v>
      </c>
      <c r="E110" t="str">
        <f t="shared" si="7"/>
        <v>pUmem_Sta_Load(10)-&gt;i.user:$29EC</v>
      </c>
    </row>
    <row r="111" spans="1:5" x14ac:dyDescent="0.3">
      <c r="A111" s="1">
        <v>10812</v>
      </c>
      <c r="B111" s="1" t="str">
        <f t="shared" si="6"/>
        <v>2A3C</v>
      </c>
      <c r="C111" t="s">
        <v>1425</v>
      </c>
      <c r="D111" t="s">
        <v>1060</v>
      </c>
      <c r="E111" t="str">
        <f t="shared" si="7"/>
        <v>pUmem_Sta_Load(11)-&gt;i.user:$2A3C</v>
      </c>
    </row>
    <row r="112" spans="1:5" x14ac:dyDescent="0.3">
      <c r="A112" s="1">
        <v>10892</v>
      </c>
      <c r="B112" s="1" t="str">
        <f t="shared" si="6"/>
        <v>2A8C</v>
      </c>
      <c r="C112" t="s">
        <v>1426</v>
      </c>
      <c r="D112" t="s">
        <v>1060</v>
      </c>
      <c r="E112" t="str">
        <f t="shared" si="7"/>
        <v>pUmem_Sta_Load(12)-&gt;i.user:$2A8C</v>
      </c>
    </row>
    <row r="113" spans="1:5" x14ac:dyDescent="0.3">
      <c r="A113" s="1">
        <v>10972</v>
      </c>
      <c r="B113" s="1" t="str">
        <f t="shared" si="6"/>
        <v>2ADC</v>
      </c>
      <c r="C113" t="s">
        <v>1427</v>
      </c>
      <c r="D113" t="s">
        <v>1060</v>
      </c>
      <c r="E113" t="str">
        <f t="shared" si="7"/>
        <v>pUmem_Sta_Load(13)-&gt;i.user:$2ADC</v>
      </c>
    </row>
    <row r="114" spans="1:5" x14ac:dyDescent="0.3">
      <c r="A114" s="1">
        <v>11052</v>
      </c>
      <c r="B114" s="1" t="str">
        <f t="shared" si="6"/>
        <v>2B2C</v>
      </c>
      <c r="C114" t="s">
        <v>1428</v>
      </c>
      <c r="D114" t="s">
        <v>1060</v>
      </c>
      <c r="E114" t="str">
        <f t="shared" si="7"/>
        <v>pUmem_Sta_Load(14)-&gt;i.user:$2B2C</v>
      </c>
    </row>
    <row r="115" spans="1:5" x14ac:dyDescent="0.3">
      <c r="A115" s="1">
        <v>11132</v>
      </c>
      <c r="B115" s="1" t="str">
        <f t="shared" si="6"/>
        <v>2B7C</v>
      </c>
      <c r="C115" t="s">
        <v>1429</v>
      </c>
      <c r="D115" t="s">
        <v>1060</v>
      </c>
      <c r="E115" t="str">
        <f t="shared" si="7"/>
        <v>pUmem_Sta_Load(15)-&gt;i.user:$2B7C</v>
      </c>
    </row>
    <row r="116" spans="1:5" x14ac:dyDescent="0.3">
      <c r="A116" s="1">
        <v>11212</v>
      </c>
      <c r="B116" s="1" t="str">
        <f t="shared" si="6"/>
        <v>2BCC</v>
      </c>
      <c r="C116" t="s">
        <v>1430</v>
      </c>
      <c r="D116" t="s">
        <v>1060</v>
      </c>
      <c r="E116" t="str">
        <f t="shared" si="7"/>
        <v>pUmem_Sta_Load(16)-&gt;i.user:$2BCC</v>
      </c>
    </row>
    <row r="117" spans="1:5" x14ac:dyDescent="0.3">
      <c r="A117" s="1">
        <v>11292</v>
      </c>
      <c r="B117" s="1" t="str">
        <f t="shared" si="6"/>
        <v>2C1C</v>
      </c>
      <c r="C117" t="s">
        <v>1431</v>
      </c>
      <c r="D117" t="s">
        <v>1060</v>
      </c>
      <c r="E117" t="str">
        <f t="shared" si="7"/>
        <v>pUmem_Sta_Load(17)-&gt;i.user:$2C1C</v>
      </c>
    </row>
    <row r="118" spans="1:5" x14ac:dyDescent="0.3">
      <c r="A118" s="1">
        <v>11372</v>
      </c>
      <c r="B118" s="1" t="str">
        <f t="shared" si="6"/>
        <v>2C6C</v>
      </c>
      <c r="C118" t="s">
        <v>1432</v>
      </c>
      <c r="D118" t="s">
        <v>1060</v>
      </c>
      <c r="E118" t="str">
        <f t="shared" si="7"/>
        <v>pUmem_Sta_Load(18)-&gt;i.user:$2C6C</v>
      </c>
    </row>
    <row r="119" spans="1:5" x14ac:dyDescent="0.3">
      <c r="A119" s="1">
        <v>11452</v>
      </c>
      <c r="B119" s="1" t="str">
        <f t="shared" si="6"/>
        <v>2CBC</v>
      </c>
      <c r="C119" t="s">
        <v>1433</v>
      </c>
      <c r="D119" t="s">
        <v>1060</v>
      </c>
      <c r="E119" t="str">
        <f t="shared" si="7"/>
        <v>pUmem_Sta_Load(19)-&gt;i.user:$2CBC</v>
      </c>
    </row>
    <row r="120" spans="1:5" x14ac:dyDescent="0.3">
      <c r="A120" s="1">
        <v>11532</v>
      </c>
      <c r="B120" s="1" t="str">
        <f t="shared" si="6"/>
        <v>2D0C</v>
      </c>
      <c r="C120" t="s">
        <v>1434</v>
      </c>
      <c r="D120" t="s">
        <v>1060</v>
      </c>
      <c r="E120" t="str">
        <f t="shared" si="7"/>
        <v>pUmem_Sta_Load(20)-&gt;i.user:$2D0C</v>
      </c>
    </row>
    <row r="121" spans="1:5" x14ac:dyDescent="0.3">
      <c r="A121" s="1">
        <v>11612</v>
      </c>
      <c r="B121" s="1" t="str">
        <f t="shared" si="6"/>
        <v>2D5C</v>
      </c>
      <c r="C121" t="s">
        <v>1435</v>
      </c>
      <c r="D121" t="s">
        <v>1060</v>
      </c>
      <c r="E121" t="str">
        <f t="shared" si="7"/>
        <v>pUmem_Sta_Load(21)-&gt;i.user:$2D5C</v>
      </c>
    </row>
    <row r="122" spans="1:5" x14ac:dyDescent="0.3">
      <c r="A122" s="1">
        <v>11692</v>
      </c>
      <c r="B122" s="1" t="str">
        <f t="shared" si="6"/>
        <v>2DAC</v>
      </c>
      <c r="C122" t="s">
        <v>1436</v>
      </c>
      <c r="D122" t="s">
        <v>1060</v>
      </c>
      <c r="E122" t="str">
        <f t="shared" si="7"/>
        <v>pUmem_Sta_Load(22)-&gt;i.user:$2DAC</v>
      </c>
    </row>
    <row r="123" spans="1:5" x14ac:dyDescent="0.3">
      <c r="A123" s="1">
        <v>11772</v>
      </c>
      <c r="B123" s="1" t="str">
        <f t="shared" si="6"/>
        <v>2DFC</v>
      </c>
      <c r="C123" t="s">
        <v>1437</v>
      </c>
      <c r="D123" t="s">
        <v>1060</v>
      </c>
      <c r="E123" t="str">
        <f t="shared" si="7"/>
        <v>pUmem_Sta_Load(23)-&gt;i.user:$2DFC</v>
      </c>
    </row>
    <row r="124" spans="1:5" x14ac:dyDescent="0.3">
      <c r="A124" s="1">
        <v>11852</v>
      </c>
      <c r="B124" s="1" t="str">
        <f t="shared" si="6"/>
        <v>2E4C</v>
      </c>
      <c r="C124" t="s">
        <v>1438</v>
      </c>
      <c r="D124" t="s">
        <v>1060</v>
      </c>
      <c r="E124" t="str">
        <f t="shared" si="7"/>
        <v>pUmem_Sta_Load(24)-&gt;i.user:$2E4C</v>
      </c>
    </row>
    <row r="125" spans="1:5" x14ac:dyDescent="0.3">
      <c r="A125" s="1">
        <v>11932</v>
      </c>
      <c r="B125" s="1" t="str">
        <f t="shared" si="6"/>
        <v>2E9C</v>
      </c>
      <c r="C125" t="s">
        <v>1439</v>
      </c>
      <c r="D125" t="s">
        <v>1060</v>
      </c>
      <c r="E125" t="str">
        <f t="shared" si="7"/>
        <v>pUmem_Sta_Load(25)-&gt;i.user:$2E9C</v>
      </c>
    </row>
    <row r="126" spans="1:5" x14ac:dyDescent="0.3">
      <c r="A126" s="1">
        <v>12012</v>
      </c>
      <c r="B126" s="1" t="str">
        <f t="shared" si="6"/>
        <v>2EEC</v>
      </c>
      <c r="C126" t="s">
        <v>1440</v>
      </c>
      <c r="D126" t="s">
        <v>1060</v>
      </c>
      <c r="E126" t="str">
        <f t="shared" si="7"/>
        <v>pUmem_Sta_Load(26)-&gt;i.user:$2EEC</v>
      </c>
    </row>
    <row r="127" spans="1:5" x14ac:dyDescent="0.3">
      <c r="A127" s="1">
        <v>12092</v>
      </c>
      <c r="B127" s="1" t="str">
        <f t="shared" si="6"/>
        <v>2F3C</v>
      </c>
      <c r="C127" t="s">
        <v>1441</v>
      </c>
      <c r="D127" t="s">
        <v>1060</v>
      </c>
      <c r="E127" t="str">
        <f t="shared" si="7"/>
        <v>pUmem_Sta_Load(27)-&gt;i.user:$2F3C</v>
      </c>
    </row>
    <row r="128" spans="1:5" x14ac:dyDescent="0.3">
      <c r="A128" s="1">
        <v>12172</v>
      </c>
      <c r="B128" s="1" t="str">
        <f t="shared" si="6"/>
        <v>2F8C</v>
      </c>
      <c r="C128" t="s">
        <v>1442</v>
      </c>
      <c r="D128" t="s">
        <v>1060</v>
      </c>
      <c r="E128" t="str">
        <f t="shared" si="7"/>
        <v>pUmem_Sta_Load(28)-&gt;i.user:$2F8C</v>
      </c>
    </row>
    <row r="129" spans="1:5" x14ac:dyDescent="0.3">
      <c r="A129" s="1">
        <v>12252</v>
      </c>
      <c r="B129" s="1" t="str">
        <f t="shared" si="6"/>
        <v>2FDC</v>
      </c>
      <c r="C129" t="s">
        <v>1443</v>
      </c>
      <c r="D129" t="s">
        <v>1060</v>
      </c>
      <c r="E129" t="str">
        <f t="shared" si="7"/>
        <v>pUmem_Sta_Load(29)-&gt;i.user:$2FDC</v>
      </c>
    </row>
    <row r="130" spans="1:5" x14ac:dyDescent="0.3">
      <c r="A130" s="1">
        <v>12332</v>
      </c>
      <c r="B130" s="1" t="str">
        <f t="shared" si="6"/>
        <v>302C</v>
      </c>
      <c r="C130" t="s">
        <v>1444</v>
      </c>
      <c r="D130" t="s">
        <v>1060</v>
      </c>
      <c r="E130" t="str">
        <f t="shared" si="7"/>
        <v>pUmem_Sta_Load(30)-&gt;i.user:$302C</v>
      </c>
    </row>
    <row r="131" spans="1:5" x14ac:dyDescent="0.3">
      <c r="A131" s="1">
        <v>12412</v>
      </c>
      <c r="B131" s="1" t="str">
        <f t="shared" si="6"/>
        <v>307C</v>
      </c>
      <c r="C131" t="s">
        <v>1445</v>
      </c>
      <c r="D131" t="s">
        <v>1060</v>
      </c>
      <c r="E131" t="str">
        <f t="shared" si="7"/>
        <v>pUmem_Sta_Load(31)-&gt;i.user:$307C</v>
      </c>
    </row>
    <row r="132" spans="1:5" x14ac:dyDescent="0.3">
      <c r="A132" s="1">
        <v>12492</v>
      </c>
      <c r="B132" s="1" t="str">
        <f t="shared" si="6"/>
        <v>30CC</v>
      </c>
      <c r="C132" t="s">
        <v>1446</v>
      </c>
      <c r="D132" t="s">
        <v>1060</v>
      </c>
      <c r="E132" t="str">
        <f t="shared" si="7"/>
        <v>pUmem_Sta_Load(32)-&gt;i.user:$30CC</v>
      </c>
    </row>
    <row r="134" spans="1:5" x14ac:dyDescent="0.3">
      <c r="A134" s="1">
        <v>10016</v>
      </c>
      <c r="B134" s="1" t="str">
        <f>DEC2HEX(A134)</f>
        <v>2720</v>
      </c>
      <c r="C134" t="s">
        <v>1064</v>
      </c>
      <c r="D134" t="s">
        <v>1060</v>
      </c>
      <c r="E134" t="str">
        <f>C134&amp;D134&amp;B134</f>
        <v>pUmem_Sta_AmpEna(01)-&gt;i.user:$2720</v>
      </c>
    </row>
    <row r="135" spans="1:5" x14ac:dyDescent="0.3">
      <c r="A135" s="1">
        <v>10096</v>
      </c>
      <c r="B135" s="1" t="str">
        <f t="shared" ref="B135:B165" si="8">DEC2HEX(A135)</f>
        <v>2770</v>
      </c>
      <c r="C135" t="s">
        <v>1385</v>
      </c>
      <c r="D135" t="s">
        <v>1060</v>
      </c>
      <c r="E135" t="str">
        <f t="shared" ref="E135:E165" si="9">C135&amp;D135&amp;B135</f>
        <v>pUmem_Sta_AmpEna(02)-&gt;i.user:$2770</v>
      </c>
    </row>
    <row r="136" spans="1:5" x14ac:dyDescent="0.3">
      <c r="A136" s="1">
        <v>10176</v>
      </c>
      <c r="B136" s="1" t="str">
        <f t="shared" si="8"/>
        <v>27C0</v>
      </c>
      <c r="C136" t="s">
        <v>1386</v>
      </c>
      <c r="D136" t="s">
        <v>1060</v>
      </c>
      <c r="E136" t="str">
        <f t="shared" si="9"/>
        <v>pUmem_Sta_AmpEna(03)-&gt;i.user:$27C0</v>
      </c>
    </row>
    <row r="137" spans="1:5" x14ac:dyDescent="0.3">
      <c r="A137" s="1">
        <v>10256</v>
      </c>
      <c r="B137" s="1" t="str">
        <f t="shared" si="8"/>
        <v>2810</v>
      </c>
      <c r="C137" t="s">
        <v>1387</v>
      </c>
      <c r="D137" t="s">
        <v>1060</v>
      </c>
      <c r="E137" t="str">
        <f t="shared" si="9"/>
        <v>pUmem_Sta_AmpEna(04)-&gt;i.user:$2810</v>
      </c>
    </row>
    <row r="138" spans="1:5" x14ac:dyDescent="0.3">
      <c r="A138" s="1">
        <v>10336</v>
      </c>
      <c r="B138" s="1" t="str">
        <f t="shared" si="8"/>
        <v>2860</v>
      </c>
      <c r="C138" t="s">
        <v>1388</v>
      </c>
      <c r="D138" t="s">
        <v>1060</v>
      </c>
      <c r="E138" t="str">
        <f t="shared" si="9"/>
        <v>pUmem_Sta_AmpEna(05)-&gt;i.user:$2860</v>
      </c>
    </row>
    <row r="139" spans="1:5" x14ac:dyDescent="0.3">
      <c r="A139" s="1">
        <v>10416</v>
      </c>
      <c r="B139" s="1" t="str">
        <f t="shared" si="8"/>
        <v>28B0</v>
      </c>
      <c r="C139" t="s">
        <v>1389</v>
      </c>
      <c r="D139" t="s">
        <v>1060</v>
      </c>
      <c r="E139" t="str">
        <f t="shared" si="9"/>
        <v>pUmem_Sta_AmpEna(06)-&gt;i.user:$28B0</v>
      </c>
    </row>
    <row r="140" spans="1:5" x14ac:dyDescent="0.3">
      <c r="A140" s="1">
        <v>10496</v>
      </c>
      <c r="B140" s="1" t="str">
        <f t="shared" si="8"/>
        <v>2900</v>
      </c>
      <c r="C140" t="s">
        <v>1390</v>
      </c>
      <c r="D140" t="s">
        <v>1060</v>
      </c>
      <c r="E140" t="str">
        <f t="shared" si="9"/>
        <v>pUmem_Sta_AmpEna(07)-&gt;i.user:$2900</v>
      </c>
    </row>
    <row r="141" spans="1:5" x14ac:dyDescent="0.3">
      <c r="A141" s="1">
        <v>10576</v>
      </c>
      <c r="B141" s="1" t="str">
        <f t="shared" si="8"/>
        <v>2950</v>
      </c>
      <c r="C141" t="s">
        <v>1391</v>
      </c>
      <c r="D141" t="s">
        <v>1060</v>
      </c>
      <c r="E141" t="str">
        <f t="shared" si="9"/>
        <v>pUmem_Sta_AmpEna(08)-&gt;i.user:$2950</v>
      </c>
    </row>
    <row r="142" spans="1:5" x14ac:dyDescent="0.3">
      <c r="A142" s="1">
        <v>10656</v>
      </c>
      <c r="B142" s="1" t="str">
        <f t="shared" si="8"/>
        <v>29A0</v>
      </c>
      <c r="C142" t="s">
        <v>1392</v>
      </c>
      <c r="D142" t="s">
        <v>1060</v>
      </c>
      <c r="E142" t="str">
        <f t="shared" si="9"/>
        <v>pUmem_Sta_AmpEna(09)-&gt;i.user:$29A0</v>
      </c>
    </row>
    <row r="143" spans="1:5" x14ac:dyDescent="0.3">
      <c r="A143" s="1">
        <v>10736</v>
      </c>
      <c r="B143" s="1" t="str">
        <f t="shared" si="8"/>
        <v>29F0</v>
      </c>
      <c r="C143" t="s">
        <v>1393</v>
      </c>
      <c r="D143" t="s">
        <v>1060</v>
      </c>
      <c r="E143" t="str">
        <f t="shared" si="9"/>
        <v>pUmem_Sta_AmpEna(10)-&gt;i.user:$29F0</v>
      </c>
    </row>
    <row r="144" spans="1:5" x14ac:dyDescent="0.3">
      <c r="A144" s="1">
        <v>10816</v>
      </c>
      <c r="B144" s="1" t="str">
        <f t="shared" si="8"/>
        <v>2A40</v>
      </c>
      <c r="C144" t="s">
        <v>1394</v>
      </c>
      <c r="D144" t="s">
        <v>1060</v>
      </c>
      <c r="E144" t="str">
        <f t="shared" si="9"/>
        <v>pUmem_Sta_AmpEna(11)-&gt;i.user:$2A40</v>
      </c>
    </row>
    <row r="145" spans="1:5" x14ac:dyDescent="0.3">
      <c r="A145" s="1">
        <v>10896</v>
      </c>
      <c r="B145" s="1" t="str">
        <f t="shared" si="8"/>
        <v>2A90</v>
      </c>
      <c r="C145" t="s">
        <v>1395</v>
      </c>
      <c r="D145" t="s">
        <v>1060</v>
      </c>
      <c r="E145" t="str">
        <f t="shared" si="9"/>
        <v>pUmem_Sta_AmpEna(12)-&gt;i.user:$2A90</v>
      </c>
    </row>
    <row r="146" spans="1:5" x14ac:dyDescent="0.3">
      <c r="A146" s="1">
        <v>10976</v>
      </c>
      <c r="B146" s="1" t="str">
        <f t="shared" si="8"/>
        <v>2AE0</v>
      </c>
      <c r="C146" t="s">
        <v>1396</v>
      </c>
      <c r="D146" t="s">
        <v>1060</v>
      </c>
      <c r="E146" t="str">
        <f t="shared" si="9"/>
        <v>pUmem_Sta_AmpEna(13)-&gt;i.user:$2AE0</v>
      </c>
    </row>
    <row r="147" spans="1:5" x14ac:dyDescent="0.3">
      <c r="A147" s="1">
        <v>11056</v>
      </c>
      <c r="B147" s="1" t="str">
        <f t="shared" si="8"/>
        <v>2B30</v>
      </c>
      <c r="C147" t="s">
        <v>1397</v>
      </c>
      <c r="D147" t="s">
        <v>1060</v>
      </c>
      <c r="E147" t="str">
        <f t="shared" si="9"/>
        <v>pUmem_Sta_AmpEna(14)-&gt;i.user:$2B30</v>
      </c>
    </row>
    <row r="148" spans="1:5" x14ac:dyDescent="0.3">
      <c r="A148" s="1">
        <v>11136</v>
      </c>
      <c r="B148" s="1" t="str">
        <f t="shared" si="8"/>
        <v>2B80</v>
      </c>
      <c r="C148" t="s">
        <v>1398</v>
      </c>
      <c r="D148" t="s">
        <v>1060</v>
      </c>
      <c r="E148" t="str">
        <f t="shared" si="9"/>
        <v>pUmem_Sta_AmpEna(15)-&gt;i.user:$2B80</v>
      </c>
    </row>
    <row r="149" spans="1:5" x14ac:dyDescent="0.3">
      <c r="A149" s="1">
        <v>11216</v>
      </c>
      <c r="B149" s="1" t="str">
        <f t="shared" si="8"/>
        <v>2BD0</v>
      </c>
      <c r="C149" t="s">
        <v>1399</v>
      </c>
      <c r="D149" t="s">
        <v>1060</v>
      </c>
      <c r="E149" t="str">
        <f t="shared" si="9"/>
        <v>pUmem_Sta_AmpEna(16)-&gt;i.user:$2BD0</v>
      </c>
    </row>
    <row r="150" spans="1:5" x14ac:dyDescent="0.3">
      <c r="A150" s="1">
        <v>11296</v>
      </c>
      <c r="B150" s="1" t="str">
        <f t="shared" si="8"/>
        <v>2C20</v>
      </c>
      <c r="C150" t="s">
        <v>1400</v>
      </c>
      <c r="D150" t="s">
        <v>1060</v>
      </c>
      <c r="E150" t="str">
        <f t="shared" si="9"/>
        <v>pUmem_Sta_AmpEna(17)-&gt;i.user:$2C20</v>
      </c>
    </row>
    <row r="151" spans="1:5" x14ac:dyDescent="0.3">
      <c r="A151" s="1">
        <v>11376</v>
      </c>
      <c r="B151" s="1" t="str">
        <f t="shared" si="8"/>
        <v>2C70</v>
      </c>
      <c r="C151" t="s">
        <v>1401</v>
      </c>
      <c r="D151" t="s">
        <v>1060</v>
      </c>
      <c r="E151" t="str">
        <f t="shared" si="9"/>
        <v>pUmem_Sta_AmpEna(18)-&gt;i.user:$2C70</v>
      </c>
    </row>
    <row r="152" spans="1:5" x14ac:dyDescent="0.3">
      <c r="A152" s="1">
        <v>11456</v>
      </c>
      <c r="B152" s="1" t="str">
        <f t="shared" si="8"/>
        <v>2CC0</v>
      </c>
      <c r="C152" t="s">
        <v>1402</v>
      </c>
      <c r="D152" t="s">
        <v>1060</v>
      </c>
      <c r="E152" t="str">
        <f t="shared" si="9"/>
        <v>pUmem_Sta_AmpEna(19)-&gt;i.user:$2CC0</v>
      </c>
    </row>
    <row r="153" spans="1:5" x14ac:dyDescent="0.3">
      <c r="A153" s="1">
        <v>11536</v>
      </c>
      <c r="B153" s="1" t="str">
        <f t="shared" si="8"/>
        <v>2D10</v>
      </c>
      <c r="C153" t="s">
        <v>1403</v>
      </c>
      <c r="D153" t="s">
        <v>1060</v>
      </c>
      <c r="E153" t="str">
        <f t="shared" si="9"/>
        <v>pUmem_Sta_AmpEna(20)-&gt;i.user:$2D10</v>
      </c>
    </row>
    <row r="154" spans="1:5" x14ac:dyDescent="0.3">
      <c r="A154" s="1">
        <v>11616</v>
      </c>
      <c r="B154" s="1" t="str">
        <f t="shared" si="8"/>
        <v>2D60</v>
      </c>
      <c r="C154" t="s">
        <v>1404</v>
      </c>
      <c r="D154" t="s">
        <v>1060</v>
      </c>
      <c r="E154" t="str">
        <f t="shared" si="9"/>
        <v>pUmem_Sta_AmpEna(21)-&gt;i.user:$2D60</v>
      </c>
    </row>
    <row r="155" spans="1:5" x14ac:dyDescent="0.3">
      <c r="A155" s="1">
        <v>11696</v>
      </c>
      <c r="B155" s="1" t="str">
        <f t="shared" si="8"/>
        <v>2DB0</v>
      </c>
      <c r="C155" t="s">
        <v>1405</v>
      </c>
      <c r="D155" t="s">
        <v>1060</v>
      </c>
      <c r="E155" t="str">
        <f t="shared" si="9"/>
        <v>pUmem_Sta_AmpEna(22)-&gt;i.user:$2DB0</v>
      </c>
    </row>
    <row r="156" spans="1:5" x14ac:dyDescent="0.3">
      <c r="A156" s="1">
        <v>11776</v>
      </c>
      <c r="B156" s="1" t="str">
        <f t="shared" si="8"/>
        <v>2E00</v>
      </c>
      <c r="C156" t="s">
        <v>1406</v>
      </c>
      <c r="D156" t="s">
        <v>1060</v>
      </c>
      <c r="E156" t="str">
        <f t="shared" si="9"/>
        <v>pUmem_Sta_AmpEna(23)-&gt;i.user:$2E00</v>
      </c>
    </row>
    <row r="157" spans="1:5" x14ac:dyDescent="0.3">
      <c r="A157" s="1">
        <v>11856</v>
      </c>
      <c r="B157" s="1" t="str">
        <f t="shared" si="8"/>
        <v>2E50</v>
      </c>
      <c r="C157" t="s">
        <v>1407</v>
      </c>
      <c r="D157" t="s">
        <v>1060</v>
      </c>
      <c r="E157" t="str">
        <f t="shared" si="9"/>
        <v>pUmem_Sta_AmpEna(24)-&gt;i.user:$2E50</v>
      </c>
    </row>
    <row r="158" spans="1:5" x14ac:dyDescent="0.3">
      <c r="A158" s="1">
        <v>11936</v>
      </c>
      <c r="B158" s="1" t="str">
        <f t="shared" si="8"/>
        <v>2EA0</v>
      </c>
      <c r="C158" t="s">
        <v>1408</v>
      </c>
      <c r="D158" t="s">
        <v>1060</v>
      </c>
      <c r="E158" t="str">
        <f t="shared" si="9"/>
        <v>pUmem_Sta_AmpEna(25)-&gt;i.user:$2EA0</v>
      </c>
    </row>
    <row r="159" spans="1:5" x14ac:dyDescent="0.3">
      <c r="A159" s="1">
        <v>12016</v>
      </c>
      <c r="B159" s="1" t="str">
        <f t="shared" si="8"/>
        <v>2EF0</v>
      </c>
      <c r="C159" t="s">
        <v>1409</v>
      </c>
      <c r="D159" t="s">
        <v>1060</v>
      </c>
      <c r="E159" t="str">
        <f t="shared" si="9"/>
        <v>pUmem_Sta_AmpEna(26)-&gt;i.user:$2EF0</v>
      </c>
    </row>
    <row r="160" spans="1:5" x14ac:dyDescent="0.3">
      <c r="A160" s="1">
        <v>12096</v>
      </c>
      <c r="B160" s="1" t="str">
        <f t="shared" si="8"/>
        <v>2F40</v>
      </c>
      <c r="C160" t="s">
        <v>1410</v>
      </c>
      <c r="D160" t="s">
        <v>1060</v>
      </c>
      <c r="E160" t="str">
        <f t="shared" si="9"/>
        <v>pUmem_Sta_AmpEna(27)-&gt;i.user:$2F40</v>
      </c>
    </row>
    <row r="161" spans="1:5" x14ac:dyDescent="0.3">
      <c r="A161" s="1">
        <v>12176</v>
      </c>
      <c r="B161" s="1" t="str">
        <f t="shared" si="8"/>
        <v>2F90</v>
      </c>
      <c r="C161" t="s">
        <v>1411</v>
      </c>
      <c r="D161" t="s">
        <v>1060</v>
      </c>
      <c r="E161" t="str">
        <f t="shared" si="9"/>
        <v>pUmem_Sta_AmpEna(28)-&gt;i.user:$2F90</v>
      </c>
    </row>
    <row r="162" spans="1:5" x14ac:dyDescent="0.3">
      <c r="A162" s="1">
        <v>12256</v>
      </c>
      <c r="B162" s="1" t="str">
        <f t="shared" si="8"/>
        <v>2FE0</v>
      </c>
      <c r="C162" t="s">
        <v>1412</v>
      </c>
      <c r="D162" t="s">
        <v>1060</v>
      </c>
      <c r="E162" t="str">
        <f t="shared" si="9"/>
        <v>pUmem_Sta_AmpEna(29)-&gt;i.user:$2FE0</v>
      </c>
    </row>
    <row r="163" spans="1:5" x14ac:dyDescent="0.3">
      <c r="A163" s="1">
        <v>12336</v>
      </c>
      <c r="B163" s="1" t="str">
        <f t="shared" si="8"/>
        <v>3030</v>
      </c>
      <c r="C163" t="s">
        <v>1413</v>
      </c>
      <c r="D163" t="s">
        <v>1060</v>
      </c>
      <c r="E163" t="str">
        <f t="shared" si="9"/>
        <v>pUmem_Sta_AmpEna(30)-&gt;i.user:$3030</v>
      </c>
    </row>
    <row r="164" spans="1:5" x14ac:dyDescent="0.3">
      <c r="A164" s="1">
        <v>12416</v>
      </c>
      <c r="B164" s="1" t="str">
        <f t="shared" si="8"/>
        <v>3080</v>
      </c>
      <c r="C164" t="s">
        <v>1414</v>
      </c>
      <c r="D164" t="s">
        <v>1060</v>
      </c>
      <c r="E164" t="str">
        <f t="shared" si="9"/>
        <v>pUmem_Sta_AmpEna(31)-&gt;i.user:$3080</v>
      </c>
    </row>
    <row r="165" spans="1:5" x14ac:dyDescent="0.3">
      <c r="A165" s="1">
        <v>12496</v>
      </c>
      <c r="B165" s="1" t="str">
        <f t="shared" si="8"/>
        <v>30D0</v>
      </c>
      <c r="C165" t="s">
        <v>1415</v>
      </c>
      <c r="D165" t="s">
        <v>1060</v>
      </c>
      <c r="E165" t="str">
        <f t="shared" si="9"/>
        <v>pUmem_Sta_AmpEna(32)-&gt;i.user:$30D0</v>
      </c>
    </row>
    <row r="167" spans="1:5" x14ac:dyDescent="0.3">
      <c r="A167" s="1">
        <v>10020</v>
      </c>
      <c r="B167" s="1" t="str">
        <f>DEC2HEX(A167)</f>
        <v>2724</v>
      </c>
      <c r="C167" t="s">
        <v>1065</v>
      </c>
      <c r="D167" t="s">
        <v>1060</v>
      </c>
      <c r="E167" t="str">
        <f>C167&amp;D167&amp;B167</f>
        <v>pUmem_Sta_CloseLoop(01)-&gt;i.user:$2724</v>
      </c>
    </row>
    <row r="168" spans="1:5" x14ac:dyDescent="0.3">
      <c r="A168" s="1">
        <v>10100</v>
      </c>
      <c r="B168" s="1" t="str">
        <f t="shared" ref="B168:B198" si="10">DEC2HEX(A168)</f>
        <v>2774</v>
      </c>
      <c r="C168" t="s">
        <v>1354</v>
      </c>
      <c r="D168" t="s">
        <v>1060</v>
      </c>
      <c r="E168" t="str">
        <f t="shared" ref="E168:E198" si="11">C168&amp;D168&amp;B168</f>
        <v>pUmem_Sta_CloseLoop(02)-&gt;i.user:$2774</v>
      </c>
    </row>
    <row r="169" spans="1:5" x14ac:dyDescent="0.3">
      <c r="A169" s="1">
        <v>10180</v>
      </c>
      <c r="B169" s="1" t="str">
        <f t="shared" si="10"/>
        <v>27C4</v>
      </c>
      <c r="C169" t="s">
        <v>1355</v>
      </c>
      <c r="D169" t="s">
        <v>1060</v>
      </c>
      <c r="E169" t="str">
        <f t="shared" si="11"/>
        <v>pUmem_Sta_CloseLoop(03)-&gt;i.user:$27C4</v>
      </c>
    </row>
    <row r="170" spans="1:5" x14ac:dyDescent="0.3">
      <c r="A170" s="1">
        <v>10260</v>
      </c>
      <c r="B170" s="1" t="str">
        <f t="shared" si="10"/>
        <v>2814</v>
      </c>
      <c r="C170" t="s">
        <v>1356</v>
      </c>
      <c r="D170" t="s">
        <v>1060</v>
      </c>
      <c r="E170" t="str">
        <f t="shared" si="11"/>
        <v>pUmem_Sta_CloseLoop(04)-&gt;i.user:$2814</v>
      </c>
    </row>
    <row r="171" spans="1:5" x14ac:dyDescent="0.3">
      <c r="A171" s="1">
        <v>10340</v>
      </c>
      <c r="B171" s="1" t="str">
        <f t="shared" si="10"/>
        <v>2864</v>
      </c>
      <c r="C171" t="s">
        <v>1357</v>
      </c>
      <c r="D171" t="s">
        <v>1060</v>
      </c>
      <c r="E171" t="str">
        <f t="shared" si="11"/>
        <v>pUmem_Sta_CloseLoop(05)-&gt;i.user:$2864</v>
      </c>
    </row>
    <row r="172" spans="1:5" x14ac:dyDescent="0.3">
      <c r="A172" s="1">
        <v>10420</v>
      </c>
      <c r="B172" s="1" t="str">
        <f t="shared" si="10"/>
        <v>28B4</v>
      </c>
      <c r="C172" t="s">
        <v>1358</v>
      </c>
      <c r="D172" t="s">
        <v>1060</v>
      </c>
      <c r="E172" t="str">
        <f t="shared" si="11"/>
        <v>pUmem_Sta_CloseLoop(06)-&gt;i.user:$28B4</v>
      </c>
    </row>
    <row r="173" spans="1:5" x14ac:dyDescent="0.3">
      <c r="A173" s="1">
        <v>10500</v>
      </c>
      <c r="B173" s="1" t="str">
        <f t="shared" si="10"/>
        <v>2904</v>
      </c>
      <c r="C173" t="s">
        <v>1359</v>
      </c>
      <c r="D173" t="s">
        <v>1060</v>
      </c>
      <c r="E173" t="str">
        <f t="shared" si="11"/>
        <v>pUmem_Sta_CloseLoop(07)-&gt;i.user:$2904</v>
      </c>
    </row>
    <row r="174" spans="1:5" x14ac:dyDescent="0.3">
      <c r="A174" s="1">
        <v>10580</v>
      </c>
      <c r="B174" s="1" t="str">
        <f t="shared" si="10"/>
        <v>2954</v>
      </c>
      <c r="C174" t="s">
        <v>1360</v>
      </c>
      <c r="D174" t="s">
        <v>1060</v>
      </c>
      <c r="E174" t="str">
        <f t="shared" si="11"/>
        <v>pUmem_Sta_CloseLoop(08)-&gt;i.user:$2954</v>
      </c>
    </row>
    <row r="175" spans="1:5" x14ac:dyDescent="0.3">
      <c r="A175" s="1">
        <v>10660</v>
      </c>
      <c r="B175" s="1" t="str">
        <f t="shared" si="10"/>
        <v>29A4</v>
      </c>
      <c r="C175" t="s">
        <v>1361</v>
      </c>
      <c r="D175" t="s">
        <v>1060</v>
      </c>
      <c r="E175" t="str">
        <f t="shared" si="11"/>
        <v>pUmem_Sta_CloseLoop(09)-&gt;i.user:$29A4</v>
      </c>
    </row>
    <row r="176" spans="1:5" x14ac:dyDescent="0.3">
      <c r="A176" s="1">
        <v>10740</v>
      </c>
      <c r="B176" s="1" t="str">
        <f t="shared" si="10"/>
        <v>29F4</v>
      </c>
      <c r="C176" t="s">
        <v>1362</v>
      </c>
      <c r="D176" t="s">
        <v>1060</v>
      </c>
      <c r="E176" t="str">
        <f t="shared" si="11"/>
        <v>pUmem_Sta_CloseLoop(10)-&gt;i.user:$29F4</v>
      </c>
    </row>
    <row r="177" spans="1:5" x14ac:dyDescent="0.3">
      <c r="A177" s="1">
        <v>10820</v>
      </c>
      <c r="B177" s="1" t="str">
        <f t="shared" si="10"/>
        <v>2A44</v>
      </c>
      <c r="C177" t="s">
        <v>1363</v>
      </c>
      <c r="D177" t="s">
        <v>1060</v>
      </c>
      <c r="E177" t="str">
        <f t="shared" si="11"/>
        <v>pUmem_Sta_CloseLoop(11)-&gt;i.user:$2A44</v>
      </c>
    </row>
    <row r="178" spans="1:5" x14ac:dyDescent="0.3">
      <c r="A178" s="1">
        <v>10900</v>
      </c>
      <c r="B178" s="1" t="str">
        <f t="shared" si="10"/>
        <v>2A94</v>
      </c>
      <c r="C178" t="s">
        <v>1364</v>
      </c>
      <c r="D178" t="s">
        <v>1060</v>
      </c>
      <c r="E178" t="str">
        <f t="shared" si="11"/>
        <v>pUmem_Sta_CloseLoop(12)-&gt;i.user:$2A94</v>
      </c>
    </row>
    <row r="179" spans="1:5" x14ac:dyDescent="0.3">
      <c r="A179" s="1">
        <v>10980</v>
      </c>
      <c r="B179" s="1" t="str">
        <f t="shared" si="10"/>
        <v>2AE4</v>
      </c>
      <c r="C179" t="s">
        <v>1365</v>
      </c>
      <c r="D179" t="s">
        <v>1060</v>
      </c>
      <c r="E179" t="str">
        <f t="shared" si="11"/>
        <v>pUmem_Sta_CloseLoop(13)-&gt;i.user:$2AE4</v>
      </c>
    </row>
    <row r="180" spans="1:5" x14ac:dyDescent="0.3">
      <c r="A180" s="1">
        <v>11060</v>
      </c>
      <c r="B180" s="1" t="str">
        <f t="shared" si="10"/>
        <v>2B34</v>
      </c>
      <c r="C180" t="s">
        <v>1366</v>
      </c>
      <c r="D180" t="s">
        <v>1060</v>
      </c>
      <c r="E180" t="str">
        <f t="shared" si="11"/>
        <v>pUmem_Sta_CloseLoop(14)-&gt;i.user:$2B34</v>
      </c>
    </row>
    <row r="181" spans="1:5" x14ac:dyDescent="0.3">
      <c r="A181" s="1">
        <v>11140</v>
      </c>
      <c r="B181" s="1" t="str">
        <f t="shared" si="10"/>
        <v>2B84</v>
      </c>
      <c r="C181" t="s">
        <v>1367</v>
      </c>
      <c r="D181" t="s">
        <v>1060</v>
      </c>
      <c r="E181" t="str">
        <f t="shared" si="11"/>
        <v>pUmem_Sta_CloseLoop(15)-&gt;i.user:$2B84</v>
      </c>
    </row>
    <row r="182" spans="1:5" x14ac:dyDescent="0.3">
      <c r="A182" s="1">
        <v>11220</v>
      </c>
      <c r="B182" s="1" t="str">
        <f t="shared" si="10"/>
        <v>2BD4</v>
      </c>
      <c r="C182" t="s">
        <v>1368</v>
      </c>
      <c r="D182" t="s">
        <v>1060</v>
      </c>
      <c r="E182" t="str">
        <f t="shared" si="11"/>
        <v>pUmem_Sta_CloseLoop(16)-&gt;i.user:$2BD4</v>
      </c>
    </row>
    <row r="183" spans="1:5" x14ac:dyDescent="0.3">
      <c r="A183" s="1">
        <v>11300</v>
      </c>
      <c r="B183" s="1" t="str">
        <f t="shared" si="10"/>
        <v>2C24</v>
      </c>
      <c r="C183" t="s">
        <v>1369</v>
      </c>
      <c r="D183" t="s">
        <v>1060</v>
      </c>
      <c r="E183" t="str">
        <f t="shared" si="11"/>
        <v>pUmem_Sta_CloseLoop(17)-&gt;i.user:$2C24</v>
      </c>
    </row>
    <row r="184" spans="1:5" x14ac:dyDescent="0.3">
      <c r="A184" s="1">
        <v>11380</v>
      </c>
      <c r="B184" s="1" t="str">
        <f t="shared" si="10"/>
        <v>2C74</v>
      </c>
      <c r="C184" t="s">
        <v>1370</v>
      </c>
      <c r="D184" t="s">
        <v>1060</v>
      </c>
      <c r="E184" t="str">
        <f t="shared" si="11"/>
        <v>pUmem_Sta_CloseLoop(18)-&gt;i.user:$2C74</v>
      </c>
    </row>
    <row r="185" spans="1:5" x14ac:dyDescent="0.3">
      <c r="A185" s="1">
        <v>11460</v>
      </c>
      <c r="B185" s="1" t="str">
        <f t="shared" si="10"/>
        <v>2CC4</v>
      </c>
      <c r="C185" t="s">
        <v>1371</v>
      </c>
      <c r="D185" t="s">
        <v>1060</v>
      </c>
      <c r="E185" t="str">
        <f t="shared" si="11"/>
        <v>pUmem_Sta_CloseLoop(19)-&gt;i.user:$2CC4</v>
      </c>
    </row>
    <row r="186" spans="1:5" x14ac:dyDescent="0.3">
      <c r="A186" s="1">
        <v>11540</v>
      </c>
      <c r="B186" s="1" t="str">
        <f t="shared" si="10"/>
        <v>2D14</v>
      </c>
      <c r="C186" t="s">
        <v>1372</v>
      </c>
      <c r="D186" t="s">
        <v>1060</v>
      </c>
      <c r="E186" t="str">
        <f t="shared" si="11"/>
        <v>pUmem_Sta_CloseLoop(20)-&gt;i.user:$2D14</v>
      </c>
    </row>
    <row r="187" spans="1:5" x14ac:dyDescent="0.3">
      <c r="A187" s="1">
        <v>11620</v>
      </c>
      <c r="B187" s="1" t="str">
        <f t="shared" si="10"/>
        <v>2D64</v>
      </c>
      <c r="C187" t="s">
        <v>1373</v>
      </c>
      <c r="D187" t="s">
        <v>1060</v>
      </c>
      <c r="E187" t="str">
        <f t="shared" si="11"/>
        <v>pUmem_Sta_CloseLoop(21)-&gt;i.user:$2D64</v>
      </c>
    </row>
    <row r="188" spans="1:5" x14ac:dyDescent="0.3">
      <c r="A188" s="1">
        <v>11700</v>
      </c>
      <c r="B188" s="1" t="str">
        <f t="shared" si="10"/>
        <v>2DB4</v>
      </c>
      <c r="C188" t="s">
        <v>1374</v>
      </c>
      <c r="D188" t="s">
        <v>1060</v>
      </c>
      <c r="E188" t="str">
        <f t="shared" si="11"/>
        <v>pUmem_Sta_CloseLoop(22)-&gt;i.user:$2DB4</v>
      </c>
    </row>
    <row r="189" spans="1:5" x14ac:dyDescent="0.3">
      <c r="A189" s="1">
        <v>11780</v>
      </c>
      <c r="B189" s="1" t="str">
        <f t="shared" si="10"/>
        <v>2E04</v>
      </c>
      <c r="C189" t="s">
        <v>1375</v>
      </c>
      <c r="D189" t="s">
        <v>1060</v>
      </c>
      <c r="E189" t="str">
        <f t="shared" si="11"/>
        <v>pUmem_Sta_CloseLoop(23)-&gt;i.user:$2E04</v>
      </c>
    </row>
    <row r="190" spans="1:5" x14ac:dyDescent="0.3">
      <c r="A190" s="1">
        <v>11860</v>
      </c>
      <c r="B190" s="1" t="str">
        <f t="shared" si="10"/>
        <v>2E54</v>
      </c>
      <c r="C190" t="s">
        <v>1376</v>
      </c>
      <c r="D190" t="s">
        <v>1060</v>
      </c>
      <c r="E190" t="str">
        <f t="shared" si="11"/>
        <v>pUmem_Sta_CloseLoop(24)-&gt;i.user:$2E54</v>
      </c>
    </row>
    <row r="191" spans="1:5" x14ac:dyDescent="0.3">
      <c r="A191" s="1">
        <v>11940</v>
      </c>
      <c r="B191" s="1" t="str">
        <f t="shared" si="10"/>
        <v>2EA4</v>
      </c>
      <c r="C191" t="s">
        <v>1377</v>
      </c>
      <c r="D191" t="s">
        <v>1060</v>
      </c>
      <c r="E191" t="str">
        <f t="shared" si="11"/>
        <v>pUmem_Sta_CloseLoop(25)-&gt;i.user:$2EA4</v>
      </c>
    </row>
    <row r="192" spans="1:5" x14ac:dyDescent="0.3">
      <c r="A192" s="1">
        <v>12020</v>
      </c>
      <c r="B192" s="1" t="str">
        <f t="shared" si="10"/>
        <v>2EF4</v>
      </c>
      <c r="C192" t="s">
        <v>1378</v>
      </c>
      <c r="D192" t="s">
        <v>1060</v>
      </c>
      <c r="E192" t="str">
        <f t="shared" si="11"/>
        <v>pUmem_Sta_CloseLoop(26)-&gt;i.user:$2EF4</v>
      </c>
    </row>
    <row r="193" spans="1:5" x14ac:dyDescent="0.3">
      <c r="A193" s="1">
        <v>12100</v>
      </c>
      <c r="B193" s="1" t="str">
        <f t="shared" si="10"/>
        <v>2F44</v>
      </c>
      <c r="C193" t="s">
        <v>1379</v>
      </c>
      <c r="D193" t="s">
        <v>1060</v>
      </c>
      <c r="E193" t="str">
        <f t="shared" si="11"/>
        <v>pUmem_Sta_CloseLoop(27)-&gt;i.user:$2F44</v>
      </c>
    </row>
    <row r="194" spans="1:5" x14ac:dyDescent="0.3">
      <c r="A194" s="1">
        <v>12180</v>
      </c>
      <c r="B194" s="1" t="str">
        <f t="shared" si="10"/>
        <v>2F94</v>
      </c>
      <c r="C194" t="s">
        <v>1380</v>
      </c>
      <c r="D194" t="s">
        <v>1060</v>
      </c>
      <c r="E194" t="str">
        <f t="shared" si="11"/>
        <v>pUmem_Sta_CloseLoop(28)-&gt;i.user:$2F94</v>
      </c>
    </row>
    <row r="195" spans="1:5" x14ac:dyDescent="0.3">
      <c r="A195" s="1">
        <v>12260</v>
      </c>
      <c r="B195" s="1" t="str">
        <f t="shared" si="10"/>
        <v>2FE4</v>
      </c>
      <c r="C195" t="s">
        <v>1381</v>
      </c>
      <c r="D195" t="s">
        <v>1060</v>
      </c>
      <c r="E195" t="str">
        <f t="shared" si="11"/>
        <v>pUmem_Sta_CloseLoop(29)-&gt;i.user:$2FE4</v>
      </c>
    </row>
    <row r="196" spans="1:5" x14ac:dyDescent="0.3">
      <c r="A196" s="1">
        <v>12340</v>
      </c>
      <c r="B196" s="1" t="str">
        <f t="shared" si="10"/>
        <v>3034</v>
      </c>
      <c r="C196" t="s">
        <v>1382</v>
      </c>
      <c r="D196" t="s">
        <v>1060</v>
      </c>
      <c r="E196" t="str">
        <f t="shared" si="11"/>
        <v>pUmem_Sta_CloseLoop(30)-&gt;i.user:$3034</v>
      </c>
    </row>
    <row r="197" spans="1:5" x14ac:dyDescent="0.3">
      <c r="A197" s="1">
        <v>12420</v>
      </c>
      <c r="B197" s="1" t="str">
        <f t="shared" si="10"/>
        <v>3084</v>
      </c>
      <c r="C197" t="s">
        <v>1383</v>
      </c>
      <c r="D197" t="s">
        <v>1060</v>
      </c>
      <c r="E197" t="str">
        <f t="shared" si="11"/>
        <v>pUmem_Sta_CloseLoop(31)-&gt;i.user:$3084</v>
      </c>
    </row>
    <row r="198" spans="1:5" x14ac:dyDescent="0.3">
      <c r="A198" s="1">
        <v>12500</v>
      </c>
      <c r="B198" s="1" t="str">
        <f t="shared" si="10"/>
        <v>30D4</v>
      </c>
      <c r="C198" t="s">
        <v>1384</v>
      </c>
      <c r="D198" t="s">
        <v>1060</v>
      </c>
      <c r="E198" t="str">
        <f t="shared" si="11"/>
        <v>pUmem_Sta_CloseLoop(32)-&gt;i.user:$30D4</v>
      </c>
    </row>
    <row r="200" spans="1:5" x14ac:dyDescent="0.3">
      <c r="A200" s="1">
        <v>10024</v>
      </c>
      <c r="B200" s="1" t="str">
        <f>DEC2HEX(A200)</f>
        <v>2728</v>
      </c>
      <c r="C200" t="s">
        <v>1066</v>
      </c>
      <c r="D200" t="s">
        <v>1060</v>
      </c>
      <c r="E200" t="str">
        <f>C200&amp;D200&amp;B200</f>
        <v>pUmem_Sta_InPos(01)-&gt;i.user:$2728</v>
      </c>
    </row>
    <row r="201" spans="1:5" x14ac:dyDescent="0.3">
      <c r="A201" s="1">
        <v>10104</v>
      </c>
      <c r="B201" s="1" t="str">
        <f t="shared" ref="B201:B231" si="12">DEC2HEX(A201)</f>
        <v>2778</v>
      </c>
      <c r="C201" t="s">
        <v>1323</v>
      </c>
      <c r="D201" t="s">
        <v>1060</v>
      </c>
      <c r="E201" t="str">
        <f t="shared" ref="E201:E231" si="13">C201&amp;D201&amp;B201</f>
        <v>pUmem_Sta_InPos(02)-&gt;i.user:$2778</v>
      </c>
    </row>
    <row r="202" spans="1:5" x14ac:dyDescent="0.3">
      <c r="A202" s="1">
        <v>10184</v>
      </c>
      <c r="B202" s="1" t="str">
        <f t="shared" si="12"/>
        <v>27C8</v>
      </c>
      <c r="C202" t="s">
        <v>1324</v>
      </c>
      <c r="D202" t="s">
        <v>1060</v>
      </c>
      <c r="E202" t="str">
        <f t="shared" si="13"/>
        <v>pUmem_Sta_InPos(03)-&gt;i.user:$27C8</v>
      </c>
    </row>
    <row r="203" spans="1:5" x14ac:dyDescent="0.3">
      <c r="A203" s="1">
        <v>10264</v>
      </c>
      <c r="B203" s="1" t="str">
        <f t="shared" si="12"/>
        <v>2818</v>
      </c>
      <c r="C203" t="s">
        <v>1325</v>
      </c>
      <c r="D203" t="s">
        <v>1060</v>
      </c>
      <c r="E203" t="str">
        <f t="shared" si="13"/>
        <v>pUmem_Sta_InPos(04)-&gt;i.user:$2818</v>
      </c>
    </row>
    <row r="204" spans="1:5" x14ac:dyDescent="0.3">
      <c r="A204" s="1">
        <v>10344</v>
      </c>
      <c r="B204" s="1" t="str">
        <f t="shared" si="12"/>
        <v>2868</v>
      </c>
      <c r="C204" t="s">
        <v>1326</v>
      </c>
      <c r="D204" t="s">
        <v>1060</v>
      </c>
      <c r="E204" t="str">
        <f t="shared" si="13"/>
        <v>pUmem_Sta_InPos(05)-&gt;i.user:$2868</v>
      </c>
    </row>
    <row r="205" spans="1:5" x14ac:dyDescent="0.3">
      <c r="A205" s="1">
        <v>10424</v>
      </c>
      <c r="B205" s="1" t="str">
        <f t="shared" si="12"/>
        <v>28B8</v>
      </c>
      <c r="C205" t="s">
        <v>1327</v>
      </c>
      <c r="D205" t="s">
        <v>1060</v>
      </c>
      <c r="E205" t="str">
        <f t="shared" si="13"/>
        <v>pUmem_Sta_InPos(06)-&gt;i.user:$28B8</v>
      </c>
    </row>
    <row r="206" spans="1:5" x14ac:dyDescent="0.3">
      <c r="A206" s="1">
        <v>10504</v>
      </c>
      <c r="B206" s="1" t="str">
        <f t="shared" si="12"/>
        <v>2908</v>
      </c>
      <c r="C206" t="s">
        <v>1328</v>
      </c>
      <c r="D206" t="s">
        <v>1060</v>
      </c>
      <c r="E206" t="str">
        <f t="shared" si="13"/>
        <v>pUmem_Sta_InPos(07)-&gt;i.user:$2908</v>
      </c>
    </row>
    <row r="207" spans="1:5" x14ac:dyDescent="0.3">
      <c r="A207" s="1">
        <v>10584</v>
      </c>
      <c r="B207" s="1" t="str">
        <f t="shared" si="12"/>
        <v>2958</v>
      </c>
      <c r="C207" t="s">
        <v>1329</v>
      </c>
      <c r="D207" t="s">
        <v>1060</v>
      </c>
      <c r="E207" t="str">
        <f t="shared" si="13"/>
        <v>pUmem_Sta_InPos(08)-&gt;i.user:$2958</v>
      </c>
    </row>
    <row r="208" spans="1:5" x14ac:dyDescent="0.3">
      <c r="A208" s="1">
        <v>10664</v>
      </c>
      <c r="B208" s="1" t="str">
        <f t="shared" si="12"/>
        <v>29A8</v>
      </c>
      <c r="C208" t="s">
        <v>1330</v>
      </c>
      <c r="D208" t="s">
        <v>1060</v>
      </c>
      <c r="E208" t="str">
        <f t="shared" si="13"/>
        <v>pUmem_Sta_InPos(09)-&gt;i.user:$29A8</v>
      </c>
    </row>
    <row r="209" spans="1:5" x14ac:dyDescent="0.3">
      <c r="A209" s="1">
        <v>10744</v>
      </c>
      <c r="B209" s="1" t="str">
        <f t="shared" si="12"/>
        <v>29F8</v>
      </c>
      <c r="C209" t="s">
        <v>1331</v>
      </c>
      <c r="D209" t="s">
        <v>1060</v>
      </c>
      <c r="E209" t="str">
        <f t="shared" si="13"/>
        <v>pUmem_Sta_InPos(10)-&gt;i.user:$29F8</v>
      </c>
    </row>
    <row r="210" spans="1:5" x14ac:dyDescent="0.3">
      <c r="A210" s="1">
        <v>10824</v>
      </c>
      <c r="B210" s="1" t="str">
        <f t="shared" si="12"/>
        <v>2A48</v>
      </c>
      <c r="C210" t="s">
        <v>1332</v>
      </c>
      <c r="D210" t="s">
        <v>1060</v>
      </c>
      <c r="E210" t="str">
        <f t="shared" si="13"/>
        <v>pUmem_Sta_InPos(11)-&gt;i.user:$2A48</v>
      </c>
    </row>
    <row r="211" spans="1:5" x14ac:dyDescent="0.3">
      <c r="A211" s="1">
        <v>10904</v>
      </c>
      <c r="B211" s="1" t="str">
        <f t="shared" si="12"/>
        <v>2A98</v>
      </c>
      <c r="C211" t="s">
        <v>1333</v>
      </c>
      <c r="D211" t="s">
        <v>1060</v>
      </c>
      <c r="E211" t="str">
        <f t="shared" si="13"/>
        <v>pUmem_Sta_InPos(12)-&gt;i.user:$2A98</v>
      </c>
    </row>
    <row r="212" spans="1:5" x14ac:dyDescent="0.3">
      <c r="A212" s="1">
        <v>10984</v>
      </c>
      <c r="B212" s="1" t="str">
        <f t="shared" si="12"/>
        <v>2AE8</v>
      </c>
      <c r="C212" t="s">
        <v>1334</v>
      </c>
      <c r="D212" t="s">
        <v>1060</v>
      </c>
      <c r="E212" t="str">
        <f t="shared" si="13"/>
        <v>pUmem_Sta_InPos(13)-&gt;i.user:$2AE8</v>
      </c>
    </row>
    <row r="213" spans="1:5" x14ac:dyDescent="0.3">
      <c r="A213" s="1">
        <v>11064</v>
      </c>
      <c r="B213" s="1" t="str">
        <f t="shared" si="12"/>
        <v>2B38</v>
      </c>
      <c r="C213" t="s">
        <v>1335</v>
      </c>
      <c r="D213" t="s">
        <v>1060</v>
      </c>
      <c r="E213" t="str">
        <f t="shared" si="13"/>
        <v>pUmem_Sta_InPos(14)-&gt;i.user:$2B38</v>
      </c>
    </row>
    <row r="214" spans="1:5" x14ac:dyDescent="0.3">
      <c r="A214" s="1">
        <v>11144</v>
      </c>
      <c r="B214" s="1" t="str">
        <f t="shared" si="12"/>
        <v>2B88</v>
      </c>
      <c r="C214" t="s">
        <v>1336</v>
      </c>
      <c r="D214" t="s">
        <v>1060</v>
      </c>
      <c r="E214" t="str">
        <f t="shared" si="13"/>
        <v>pUmem_Sta_InPos(15)-&gt;i.user:$2B88</v>
      </c>
    </row>
    <row r="215" spans="1:5" x14ac:dyDescent="0.3">
      <c r="A215" s="1">
        <v>11224</v>
      </c>
      <c r="B215" s="1" t="str">
        <f t="shared" si="12"/>
        <v>2BD8</v>
      </c>
      <c r="C215" t="s">
        <v>1337</v>
      </c>
      <c r="D215" t="s">
        <v>1060</v>
      </c>
      <c r="E215" t="str">
        <f t="shared" si="13"/>
        <v>pUmem_Sta_InPos(16)-&gt;i.user:$2BD8</v>
      </c>
    </row>
    <row r="216" spans="1:5" x14ac:dyDescent="0.3">
      <c r="A216" s="1">
        <v>11304</v>
      </c>
      <c r="B216" s="1" t="str">
        <f t="shared" si="12"/>
        <v>2C28</v>
      </c>
      <c r="C216" t="s">
        <v>1338</v>
      </c>
      <c r="D216" t="s">
        <v>1060</v>
      </c>
      <c r="E216" t="str">
        <f t="shared" si="13"/>
        <v>pUmem_Sta_InPos(17)-&gt;i.user:$2C28</v>
      </c>
    </row>
    <row r="217" spans="1:5" x14ac:dyDescent="0.3">
      <c r="A217" s="1">
        <v>11384</v>
      </c>
      <c r="B217" s="1" t="str">
        <f t="shared" si="12"/>
        <v>2C78</v>
      </c>
      <c r="C217" t="s">
        <v>1339</v>
      </c>
      <c r="D217" t="s">
        <v>1060</v>
      </c>
      <c r="E217" t="str">
        <f t="shared" si="13"/>
        <v>pUmem_Sta_InPos(18)-&gt;i.user:$2C78</v>
      </c>
    </row>
    <row r="218" spans="1:5" x14ac:dyDescent="0.3">
      <c r="A218" s="1">
        <v>11464</v>
      </c>
      <c r="B218" s="1" t="str">
        <f t="shared" si="12"/>
        <v>2CC8</v>
      </c>
      <c r="C218" t="s">
        <v>1340</v>
      </c>
      <c r="D218" t="s">
        <v>1060</v>
      </c>
      <c r="E218" t="str">
        <f t="shared" si="13"/>
        <v>pUmem_Sta_InPos(19)-&gt;i.user:$2CC8</v>
      </c>
    </row>
    <row r="219" spans="1:5" x14ac:dyDescent="0.3">
      <c r="A219" s="1">
        <v>11544</v>
      </c>
      <c r="B219" s="1" t="str">
        <f t="shared" si="12"/>
        <v>2D18</v>
      </c>
      <c r="C219" t="s">
        <v>1341</v>
      </c>
      <c r="D219" t="s">
        <v>1060</v>
      </c>
      <c r="E219" t="str">
        <f t="shared" si="13"/>
        <v>pUmem_Sta_InPos(20)-&gt;i.user:$2D18</v>
      </c>
    </row>
    <row r="220" spans="1:5" x14ac:dyDescent="0.3">
      <c r="A220" s="1">
        <v>11624</v>
      </c>
      <c r="B220" s="1" t="str">
        <f t="shared" si="12"/>
        <v>2D68</v>
      </c>
      <c r="C220" t="s">
        <v>1342</v>
      </c>
      <c r="D220" t="s">
        <v>1060</v>
      </c>
      <c r="E220" t="str">
        <f t="shared" si="13"/>
        <v>pUmem_Sta_InPos(21)-&gt;i.user:$2D68</v>
      </c>
    </row>
    <row r="221" spans="1:5" x14ac:dyDescent="0.3">
      <c r="A221" s="1">
        <v>11704</v>
      </c>
      <c r="B221" s="1" t="str">
        <f t="shared" si="12"/>
        <v>2DB8</v>
      </c>
      <c r="C221" t="s">
        <v>1343</v>
      </c>
      <c r="D221" t="s">
        <v>1060</v>
      </c>
      <c r="E221" t="str">
        <f t="shared" si="13"/>
        <v>pUmem_Sta_InPos(22)-&gt;i.user:$2DB8</v>
      </c>
    </row>
    <row r="222" spans="1:5" x14ac:dyDescent="0.3">
      <c r="A222" s="1">
        <v>11784</v>
      </c>
      <c r="B222" s="1" t="str">
        <f t="shared" si="12"/>
        <v>2E08</v>
      </c>
      <c r="C222" t="s">
        <v>1344</v>
      </c>
      <c r="D222" t="s">
        <v>1060</v>
      </c>
      <c r="E222" t="str">
        <f t="shared" si="13"/>
        <v>pUmem_Sta_InPos(23)-&gt;i.user:$2E08</v>
      </c>
    </row>
    <row r="223" spans="1:5" x14ac:dyDescent="0.3">
      <c r="A223" s="1">
        <v>11864</v>
      </c>
      <c r="B223" s="1" t="str">
        <f t="shared" si="12"/>
        <v>2E58</v>
      </c>
      <c r="C223" t="s">
        <v>1345</v>
      </c>
      <c r="D223" t="s">
        <v>1060</v>
      </c>
      <c r="E223" t="str">
        <f t="shared" si="13"/>
        <v>pUmem_Sta_InPos(24)-&gt;i.user:$2E58</v>
      </c>
    </row>
    <row r="224" spans="1:5" x14ac:dyDescent="0.3">
      <c r="A224" s="1">
        <v>11944</v>
      </c>
      <c r="B224" s="1" t="str">
        <f t="shared" si="12"/>
        <v>2EA8</v>
      </c>
      <c r="C224" t="s">
        <v>1346</v>
      </c>
      <c r="D224" t="s">
        <v>1060</v>
      </c>
      <c r="E224" t="str">
        <f t="shared" si="13"/>
        <v>pUmem_Sta_InPos(25)-&gt;i.user:$2EA8</v>
      </c>
    </row>
    <row r="225" spans="1:5" x14ac:dyDescent="0.3">
      <c r="A225" s="1">
        <v>12024</v>
      </c>
      <c r="B225" s="1" t="str">
        <f t="shared" si="12"/>
        <v>2EF8</v>
      </c>
      <c r="C225" t="s">
        <v>1347</v>
      </c>
      <c r="D225" t="s">
        <v>1060</v>
      </c>
      <c r="E225" t="str">
        <f t="shared" si="13"/>
        <v>pUmem_Sta_InPos(26)-&gt;i.user:$2EF8</v>
      </c>
    </row>
    <row r="226" spans="1:5" x14ac:dyDescent="0.3">
      <c r="A226" s="1">
        <v>12104</v>
      </c>
      <c r="B226" s="1" t="str">
        <f t="shared" si="12"/>
        <v>2F48</v>
      </c>
      <c r="C226" t="s">
        <v>1348</v>
      </c>
      <c r="D226" t="s">
        <v>1060</v>
      </c>
      <c r="E226" t="str">
        <f t="shared" si="13"/>
        <v>pUmem_Sta_InPos(27)-&gt;i.user:$2F48</v>
      </c>
    </row>
    <row r="227" spans="1:5" x14ac:dyDescent="0.3">
      <c r="A227" s="1">
        <v>12184</v>
      </c>
      <c r="B227" s="1" t="str">
        <f t="shared" si="12"/>
        <v>2F98</v>
      </c>
      <c r="C227" t="s">
        <v>1349</v>
      </c>
      <c r="D227" t="s">
        <v>1060</v>
      </c>
      <c r="E227" t="str">
        <f t="shared" si="13"/>
        <v>pUmem_Sta_InPos(28)-&gt;i.user:$2F98</v>
      </c>
    </row>
    <row r="228" spans="1:5" x14ac:dyDescent="0.3">
      <c r="A228" s="1">
        <v>12264</v>
      </c>
      <c r="B228" s="1" t="str">
        <f t="shared" si="12"/>
        <v>2FE8</v>
      </c>
      <c r="C228" t="s">
        <v>1350</v>
      </c>
      <c r="D228" t="s">
        <v>1060</v>
      </c>
      <c r="E228" t="str">
        <f t="shared" si="13"/>
        <v>pUmem_Sta_InPos(29)-&gt;i.user:$2FE8</v>
      </c>
    </row>
    <row r="229" spans="1:5" x14ac:dyDescent="0.3">
      <c r="A229" s="1">
        <v>12344</v>
      </c>
      <c r="B229" s="1" t="str">
        <f t="shared" si="12"/>
        <v>3038</v>
      </c>
      <c r="C229" t="s">
        <v>1351</v>
      </c>
      <c r="D229" t="s">
        <v>1060</v>
      </c>
      <c r="E229" t="str">
        <f t="shared" si="13"/>
        <v>pUmem_Sta_InPos(30)-&gt;i.user:$3038</v>
      </c>
    </row>
    <row r="230" spans="1:5" x14ac:dyDescent="0.3">
      <c r="A230" s="1">
        <v>12424</v>
      </c>
      <c r="B230" s="1" t="str">
        <f t="shared" si="12"/>
        <v>3088</v>
      </c>
      <c r="C230" t="s">
        <v>1352</v>
      </c>
      <c r="D230" t="s">
        <v>1060</v>
      </c>
      <c r="E230" t="str">
        <f t="shared" si="13"/>
        <v>pUmem_Sta_InPos(31)-&gt;i.user:$3088</v>
      </c>
    </row>
    <row r="231" spans="1:5" x14ac:dyDescent="0.3">
      <c r="A231" s="1">
        <v>12504</v>
      </c>
      <c r="B231" s="1" t="str">
        <f t="shared" si="12"/>
        <v>30D8</v>
      </c>
      <c r="C231" t="s">
        <v>1353</v>
      </c>
      <c r="D231" t="s">
        <v>1060</v>
      </c>
      <c r="E231" t="str">
        <f t="shared" si="13"/>
        <v>pUmem_Sta_InPos(32)-&gt;i.user:$30D8</v>
      </c>
    </row>
    <row r="233" spans="1:5" x14ac:dyDescent="0.3">
      <c r="A233" s="1">
        <v>10028</v>
      </c>
      <c r="B233" s="1" t="str">
        <f>DEC2HEX(A233)</f>
        <v>272C</v>
      </c>
      <c r="C233" t="s">
        <v>1067</v>
      </c>
      <c r="D233" t="s">
        <v>1060</v>
      </c>
      <c r="E233" t="str">
        <f>C233&amp;D233&amp;B233</f>
        <v>pUmem_Sta_HomeFin(01)-&gt;i.user:$272C</v>
      </c>
    </row>
    <row r="234" spans="1:5" x14ac:dyDescent="0.3">
      <c r="A234" s="1">
        <v>10108</v>
      </c>
      <c r="B234" s="1" t="str">
        <f t="shared" ref="B234:B264" si="14">DEC2HEX(A234)</f>
        <v>277C</v>
      </c>
      <c r="C234" t="s">
        <v>1292</v>
      </c>
      <c r="D234" t="s">
        <v>1060</v>
      </c>
      <c r="E234" t="str">
        <f t="shared" ref="E234:E264" si="15">C234&amp;D234&amp;B234</f>
        <v>pUmem_Sta_HomeFin(02)-&gt;i.user:$277C</v>
      </c>
    </row>
    <row r="235" spans="1:5" x14ac:dyDescent="0.3">
      <c r="A235" s="1">
        <v>10188</v>
      </c>
      <c r="B235" s="1" t="str">
        <f t="shared" si="14"/>
        <v>27CC</v>
      </c>
      <c r="C235" t="s">
        <v>1293</v>
      </c>
      <c r="D235" t="s">
        <v>1060</v>
      </c>
      <c r="E235" t="str">
        <f t="shared" si="15"/>
        <v>pUmem_Sta_HomeFin(03)-&gt;i.user:$27CC</v>
      </c>
    </row>
    <row r="236" spans="1:5" x14ac:dyDescent="0.3">
      <c r="A236" s="1">
        <v>10268</v>
      </c>
      <c r="B236" s="1" t="str">
        <f t="shared" si="14"/>
        <v>281C</v>
      </c>
      <c r="C236" t="s">
        <v>1294</v>
      </c>
      <c r="D236" t="s">
        <v>1060</v>
      </c>
      <c r="E236" t="str">
        <f t="shared" si="15"/>
        <v>pUmem_Sta_HomeFin(04)-&gt;i.user:$281C</v>
      </c>
    </row>
    <row r="237" spans="1:5" x14ac:dyDescent="0.3">
      <c r="A237" s="1">
        <v>10348</v>
      </c>
      <c r="B237" s="1" t="str">
        <f t="shared" si="14"/>
        <v>286C</v>
      </c>
      <c r="C237" t="s">
        <v>1295</v>
      </c>
      <c r="D237" t="s">
        <v>1060</v>
      </c>
      <c r="E237" t="str">
        <f t="shared" si="15"/>
        <v>pUmem_Sta_HomeFin(05)-&gt;i.user:$286C</v>
      </c>
    </row>
    <row r="238" spans="1:5" x14ac:dyDescent="0.3">
      <c r="A238" s="1">
        <v>10428</v>
      </c>
      <c r="B238" s="1" t="str">
        <f t="shared" si="14"/>
        <v>28BC</v>
      </c>
      <c r="C238" t="s">
        <v>1296</v>
      </c>
      <c r="D238" t="s">
        <v>1060</v>
      </c>
      <c r="E238" t="str">
        <f t="shared" si="15"/>
        <v>pUmem_Sta_HomeFin(06)-&gt;i.user:$28BC</v>
      </c>
    </row>
    <row r="239" spans="1:5" x14ac:dyDescent="0.3">
      <c r="A239" s="1">
        <v>10508</v>
      </c>
      <c r="B239" s="1" t="str">
        <f t="shared" si="14"/>
        <v>290C</v>
      </c>
      <c r="C239" t="s">
        <v>1297</v>
      </c>
      <c r="D239" t="s">
        <v>1060</v>
      </c>
      <c r="E239" t="str">
        <f t="shared" si="15"/>
        <v>pUmem_Sta_HomeFin(07)-&gt;i.user:$290C</v>
      </c>
    </row>
    <row r="240" spans="1:5" x14ac:dyDescent="0.3">
      <c r="A240" s="1">
        <v>10588</v>
      </c>
      <c r="B240" s="1" t="str">
        <f t="shared" si="14"/>
        <v>295C</v>
      </c>
      <c r="C240" t="s">
        <v>1298</v>
      </c>
      <c r="D240" t="s">
        <v>1060</v>
      </c>
      <c r="E240" t="str">
        <f t="shared" si="15"/>
        <v>pUmem_Sta_HomeFin(08)-&gt;i.user:$295C</v>
      </c>
    </row>
    <row r="241" spans="1:5" x14ac:dyDescent="0.3">
      <c r="A241" s="1">
        <v>10668</v>
      </c>
      <c r="B241" s="1" t="str">
        <f t="shared" si="14"/>
        <v>29AC</v>
      </c>
      <c r="C241" t="s">
        <v>1299</v>
      </c>
      <c r="D241" t="s">
        <v>1060</v>
      </c>
      <c r="E241" t="str">
        <f t="shared" si="15"/>
        <v>pUmem_Sta_HomeFin(09)-&gt;i.user:$29AC</v>
      </c>
    </row>
    <row r="242" spans="1:5" x14ac:dyDescent="0.3">
      <c r="A242" s="1">
        <v>10748</v>
      </c>
      <c r="B242" s="1" t="str">
        <f t="shared" si="14"/>
        <v>29FC</v>
      </c>
      <c r="C242" t="s">
        <v>1300</v>
      </c>
      <c r="D242" t="s">
        <v>1060</v>
      </c>
      <c r="E242" t="str">
        <f t="shared" si="15"/>
        <v>pUmem_Sta_HomeFin(10)-&gt;i.user:$29FC</v>
      </c>
    </row>
    <row r="243" spans="1:5" x14ac:dyDescent="0.3">
      <c r="A243" s="1">
        <v>10828</v>
      </c>
      <c r="B243" s="1" t="str">
        <f t="shared" si="14"/>
        <v>2A4C</v>
      </c>
      <c r="C243" t="s">
        <v>1301</v>
      </c>
      <c r="D243" t="s">
        <v>1060</v>
      </c>
      <c r="E243" t="str">
        <f t="shared" si="15"/>
        <v>pUmem_Sta_HomeFin(11)-&gt;i.user:$2A4C</v>
      </c>
    </row>
    <row r="244" spans="1:5" x14ac:dyDescent="0.3">
      <c r="A244" s="1">
        <v>10908</v>
      </c>
      <c r="B244" s="1" t="str">
        <f t="shared" si="14"/>
        <v>2A9C</v>
      </c>
      <c r="C244" t="s">
        <v>1302</v>
      </c>
      <c r="D244" t="s">
        <v>1060</v>
      </c>
      <c r="E244" t="str">
        <f t="shared" si="15"/>
        <v>pUmem_Sta_HomeFin(12)-&gt;i.user:$2A9C</v>
      </c>
    </row>
    <row r="245" spans="1:5" x14ac:dyDescent="0.3">
      <c r="A245" s="1">
        <v>10988</v>
      </c>
      <c r="B245" s="1" t="str">
        <f t="shared" si="14"/>
        <v>2AEC</v>
      </c>
      <c r="C245" t="s">
        <v>1303</v>
      </c>
      <c r="D245" t="s">
        <v>1060</v>
      </c>
      <c r="E245" t="str">
        <f t="shared" si="15"/>
        <v>pUmem_Sta_HomeFin(13)-&gt;i.user:$2AEC</v>
      </c>
    </row>
    <row r="246" spans="1:5" x14ac:dyDescent="0.3">
      <c r="A246" s="1">
        <v>11068</v>
      </c>
      <c r="B246" s="1" t="str">
        <f t="shared" si="14"/>
        <v>2B3C</v>
      </c>
      <c r="C246" t="s">
        <v>1304</v>
      </c>
      <c r="D246" t="s">
        <v>1060</v>
      </c>
      <c r="E246" t="str">
        <f t="shared" si="15"/>
        <v>pUmem_Sta_HomeFin(14)-&gt;i.user:$2B3C</v>
      </c>
    </row>
    <row r="247" spans="1:5" x14ac:dyDescent="0.3">
      <c r="A247" s="1">
        <v>11148</v>
      </c>
      <c r="B247" s="1" t="str">
        <f t="shared" si="14"/>
        <v>2B8C</v>
      </c>
      <c r="C247" t="s">
        <v>1305</v>
      </c>
      <c r="D247" t="s">
        <v>1060</v>
      </c>
      <c r="E247" t="str">
        <f t="shared" si="15"/>
        <v>pUmem_Sta_HomeFin(15)-&gt;i.user:$2B8C</v>
      </c>
    </row>
    <row r="248" spans="1:5" x14ac:dyDescent="0.3">
      <c r="A248" s="1">
        <v>11228</v>
      </c>
      <c r="B248" s="1" t="str">
        <f t="shared" si="14"/>
        <v>2BDC</v>
      </c>
      <c r="C248" t="s">
        <v>1306</v>
      </c>
      <c r="D248" t="s">
        <v>1060</v>
      </c>
      <c r="E248" t="str">
        <f t="shared" si="15"/>
        <v>pUmem_Sta_HomeFin(16)-&gt;i.user:$2BDC</v>
      </c>
    </row>
    <row r="249" spans="1:5" x14ac:dyDescent="0.3">
      <c r="A249" s="1">
        <v>11308</v>
      </c>
      <c r="B249" s="1" t="str">
        <f t="shared" si="14"/>
        <v>2C2C</v>
      </c>
      <c r="C249" t="s">
        <v>1307</v>
      </c>
      <c r="D249" t="s">
        <v>1060</v>
      </c>
      <c r="E249" t="str">
        <f t="shared" si="15"/>
        <v>pUmem_Sta_HomeFin(17)-&gt;i.user:$2C2C</v>
      </c>
    </row>
    <row r="250" spans="1:5" x14ac:dyDescent="0.3">
      <c r="A250" s="1">
        <v>11388</v>
      </c>
      <c r="B250" s="1" t="str">
        <f t="shared" si="14"/>
        <v>2C7C</v>
      </c>
      <c r="C250" t="s">
        <v>1308</v>
      </c>
      <c r="D250" t="s">
        <v>1060</v>
      </c>
      <c r="E250" t="str">
        <f t="shared" si="15"/>
        <v>pUmem_Sta_HomeFin(18)-&gt;i.user:$2C7C</v>
      </c>
    </row>
    <row r="251" spans="1:5" x14ac:dyDescent="0.3">
      <c r="A251" s="1">
        <v>11468</v>
      </c>
      <c r="B251" s="1" t="str">
        <f t="shared" si="14"/>
        <v>2CCC</v>
      </c>
      <c r="C251" t="s">
        <v>1309</v>
      </c>
      <c r="D251" t="s">
        <v>1060</v>
      </c>
      <c r="E251" t="str">
        <f t="shared" si="15"/>
        <v>pUmem_Sta_HomeFin(19)-&gt;i.user:$2CCC</v>
      </c>
    </row>
    <row r="252" spans="1:5" x14ac:dyDescent="0.3">
      <c r="A252" s="1">
        <v>11548</v>
      </c>
      <c r="B252" s="1" t="str">
        <f t="shared" si="14"/>
        <v>2D1C</v>
      </c>
      <c r="C252" t="s">
        <v>1310</v>
      </c>
      <c r="D252" t="s">
        <v>1060</v>
      </c>
      <c r="E252" t="str">
        <f t="shared" si="15"/>
        <v>pUmem_Sta_HomeFin(20)-&gt;i.user:$2D1C</v>
      </c>
    </row>
    <row r="253" spans="1:5" x14ac:dyDescent="0.3">
      <c r="A253" s="1">
        <v>11628</v>
      </c>
      <c r="B253" s="1" t="str">
        <f t="shared" si="14"/>
        <v>2D6C</v>
      </c>
      <c r="C253" t="s">
        <v>1311</v>
      </c>
      <c r="D253" t="s">
        <v>1060</v>
      </c>
      <c r="E253" t="str">
        <f t="shared" si="15"/>
        <v>pUmem_Sta_HomeFin(21)-&gt;i.user:$2D6C</v>
      </c>
    </row>
    <row r="254" spans="1:5" x14ac:dyDescent="0.3">
      <c r="A254" s="1">
        <v>11708</v>
      </c>
      <c r="B254" s="1" t="str">
        <f t="shared" si="14"/>
        <v>2DBC</v>
      </c>
      <c r="C254" t="s">
        <v>1312</v>
      </c>
      <c r="D254" t="s">
        <v>1060</v>
      </c>
      <c r="E254" t="str">
        <f t="shared" si="15"/>
        <v>pUmem_Sta_HomeFin(22)-&gt;i.user:$2DBC</v>
      </c>
    </row>
    <row r="255" spans="1:5" x14ac:dyDescent="0.3">
      <c r="A255" s="1">
        <v>11788</v>
      </c>
      <c r="B255" s="1" t="str">
        <f t="shared" si="14"/>
        <v>2E0C</v>
      </c>
      <c r="C255" t="s">
        <v>1313</v>
      </c>
      <c r="D255" t="s">
        <v>1060</v>
      </c>
      <c r="E255" t="str">
        <f t="shared" si="15"/>
        <v>pUmem_Sta_HomeFin(23)-&gt;i.user:$2E0C</v>
      </c>
    </row>
    <row r="256" spans="1:5" x14ac:dyDescent="0.3">
      <c r="A256" s="1">
        <v>11868</v>
      </c>
      <c r="B256" s="1" t="str">
        <f t="shared" si="14"/>
        <v>2E5C</v>
      </c>
      <c r="C256" t="s">
        <v>1314</v>
      </c>
      <c r="D256" t="s">
        <v>1060</v>
      </c>
      <c r="E256" t="str">
        <f t="shared" si="15"/>
        <v>pUmem_Sta_HomeFin(24)-&gt;i.user:$2E5C</v>
      </c>
    </row>
    <row r="257" spans="1:5" x14ac:dyDescent="0.3">
      <c r="A257" s="1">
        <v>11948</v>
      </c>
      <c r="B257" s="1" t="str">
        <f t="shared" si="14"/>
        <v>2EAC</v>
      </c>
      <c r="C257" t="s">
        <v>1315</v>
      </c>
      <c r="D257" t="s">
        <v>1060</v>
      </c>
      <c r="E257" t="str">
        <f t="shared" si="15"/>
        <v>pUmem_Sta_HomeFin(25)-&gt;i.user:$2EAC</v>
      </c>
    </row>
    <row r="258" spans="1:5" x14ac:dyDescent="0.3">
      <c r="A258" s="1">
        <v>12028</v>
      </c>
      <c r="B258" s="1" t="str">
        <f t="shared" si="14"/>
        <v>2EFC</v>
      </c>
      <c r="C258" t="s">
        <v>1316</v>
      </c>
      <c r="D258" t="s">
        <v>1060</v>
      </c>
      <c r="E258" t="str">
        <f t="shared" si="15"/>
        <v>pUmem_Sta_HomeFin(26)-&gt;i.user:$2EFC</v>
      </c>
    </row>
    <row r="259" spans="1:5" x14ac:dyDescent="0.3">
      <c r="A259" s="1">
        <v>12108</v>
      </c>
      <c r="B259" s="1" t="str">
        <f t="shared" si="14"/>
        <v>2F4C</v>
      </c>
      <c r="C259" t="s">
        <v>1317</v>
      </c>
      <c r="D259" t="s">
        <v>1060</v>
      </c>
      <c r="E259" t="str">
        <f t="shared" si="15"/>
        <v>pUmem_Sta_HomeFin(27)-&gt;i.user:$2F4C</v>
      </c>
    </row>
    <row r="260" spans="1:5" x14ac:dyDescent="0.3">
      <c r="A260" s="1">
        <v>12188</v>
      </c>
      <c r="B260" s="1" t="str">
        <f t="shared" si="14"/>
        <v>2F9C</v>
      </c>
      <c r="C260" t="s">
        <v>1318</v>
      </c>
      <c r="D260" t="s">
        <v>1060</v>
      </c>
      <c r="E260" t="str">
        <f t="shared" si="15"/>
        <v>pUmem_Sta_HomeFin(28)-&gt;i.user:$2F9C</v>
      </c>
    </row>
    <row r="261" spans="1:5" x14ac:dyDescent="0.3">
      <c r="A261" s="1">
        <v>12268</v>
      </c>
      <c r="B261" s="1" t="str">
        <f t="shared" si="14"/>
        <v>2FEC</v>
      </c>
      <c r="C261" t="s">
        <v>1319</v>
      </c>
      <c r="D261" t="s">
        <v>1060</v>
      </c>
      <c r="E261" t="str">
        <f t="shared" si="15"/>
        <v>pUmem_Sta_HomeFin(29)-&gt;i.user:$2FEC</v>
      </c>
    </row>
    <row r="262" spans="1:5" x14ac:dyDescent="0.3">
      <c r="A262" s="1">
        <v>12348</v>
      </c>
      <c r="B262" s="1" t="str">
        <f t="shared" si="14"/>
        <v>303C</v>
      </c>
      <c r="C262" t="s">
        <v>1320</v>
      </c>
      <c r="D262" t="s">
        <v>1060</v>
      </c>
      <c r="E262" t="str">
        <f t="shared" si="15"/>
        <v>pUmem_Sta_HomeFin(30)-&gt;i.user:$303C</v>
      </c>
    </row>
    <row r="263" spans="1:5" x14ac:dyDescent="0.3">
      <c r="A263" s="1">
        <v>12428</v>
      </c>
      <c r="B263" s="1" t="str">
        <f t="shared" si="14"/>
        <v>308C</v>
      </c>
      <c r="C263" t="s">
        <v>1321</v>
      </c>
      <c r="D263" t="s">
        <v>1060</v>
      </c>
      <c r="E263" t="str">
        <f t="shared" si="15"/>
        <v>pUmem_Sta_HomeFin(31)-&gt;i.user:$308C</v>
      </c>
    </row>
    <row r="264" spans="1:5" x14ac:dyDescent="0.3">
      <c r="A264" s="1">
        <v>12508</v>
      </c>
      <c r="B264" s="1" t="str">
        <f t="shared" si="14"/>
        <v>30DC</v>
      </c>
      <c r="C264" t="s">
        <v>1322</v>
      </c>
      <c r="D264" t="s">
        <v>1060</v>
      </c>
      <c r="E264" t="str">
        <f t="shared" si="15"/>
        <v>pUmem_Sta_HomeFin(32)-&gt;i.user:$30DC</v>
      </c>
    </row>
    <row r="266" spans="1:5" x14ac:dyDescent="0.3">
      <c r="A266" s="1">
        <v>10032</v>
      </c>
      <c r="B266" s="1" t="str">
        <f>DEC2HEX(A266)</f>
        <v>2730</v>
      </c>
      <c r="C266" t="s">
        <v>1068</v>
      </c>
      <c r="D266" t="s">
        <v>1060</v>
      </c>
      <c r="E266" t="str">
        <f>C266&amp;D266&amp;B266</f>
        <v>pUmem_Sta_HomeIng(01)-&gt;i.user:$2730</v>
      </c>
    </row>
    <row r="267" spans="1:5" x14ac:dyDescent="0.3">
      <c r="A267" s="1">
        <v>10112</v>
      </c>
      <c r="B267" s="1" t="str">
        <f t="shared" ref="B267:B297" si="16">DEC2HEX(A267)</f>
        <v>2780</v>
      </c>
      <c r="C267" t="s">
        <v>1261</v>
      </c>
      <c r="D267" t="s">
        <v>1060</v>
      </c>
      <c r="E267" t="str">
        <f t="shared" ref="E267:E297" si="17">C267&amp;D267&amp;B267</f>
        <v>pUmem_Sta_HomeIng(02)-&gt;i.user:$2780</v>
      </c>
    </row>
    <row r="268" spans="1:5" x14ac:dyDescent="0.3">
      <c r="A268" s="1">
        <v>10192</v>
      </c>
      <c r="B268" s="1" t="str">
        <f t="shared" si="16"/>
        <v>27D0</v>
      </c>
      <c r="C268" t="s">
        <v>1262</v>
      </c>
      <c r="D268" t="s">
        <v>1060</v>
      </c>
      <c r="E268" t="str">
        <f t="shared" si="17"/>
        <v>pUmem_Sta_HomeIng(03)-&gt;i.user:$27D0</v>
      </c>
    </row>
    <row r="269" spans="1:5" x14ac:dyDescent="0.3">
      <c r="A269" s="1">
        <v>10272</v>
      </c>
      <c r="B269" s="1" t="str">
        <f t="shared" si="16"/>
        <v>2820</v>
      </c>
      <c r="C269" t="s">
        <v>1263</v>
      </c>
      <c r="D269" t="s">
        <v>1060</v>
      </c>
      <c r="E269" t="str">
        <f t="shared" si="17"/>
        <v>pUmem_Sta_HomeIng(04)-&gt;i.user:$2820</v>
      </c>
    </row>
    <row r="270" spans="1:5" x14ac:dyDescent="0.3">
      <c r="A270" s="1">
        <v>10352</v>
      </c>
      <c r="B270" s="1" t="str">
        <f t="shared" si="16"/>
        <v>2870</v>
      </c>
      <c r="C270" t="s">
        <v>1264</v>
      </c>
      <c r="D270" t="s">
        <v>1060</v>
      </c>
      <c r="E270" t="str">
        <f t="shared" si="17"/>
        <v>pUmem_Sta_HomeIng(05)-&gt;i.user:$2870</v>
      </c>
    </row>
    <row r="271" spans="1:5" x14ac:dyDescent="0.3">
      <c r="A271" s="1">
        <v>10432</v>
      </c>
      <c r="B271" s="1" t="str">
        <f t="shared" si="16"/>
        <v>28C0</v>
      </c>
      <c r="C271" t="s">
        <v>1265</v>
      </c>
      <c r="D271" t="s">
        <v>1060</v>
      </c>
      <c r="E271" t="str">
        <f t="shared" si="17"/>
        <v>pUmem_Sta_HomeIng(06)-&gt;i.user:$28C0</v>
      </c>
    </row>
    <row r="272" spans="1:5" x14ac:dyDescent="0.3">
      <c r="A272" s="1">
        <v>10512</v>
      </c>
      <c r="B272" s="1" t="str">
        <f t="shared" si="16"/>
        <v>2910</v>
      </c>
      <c r="C272" t="s">
        <v>1266</v>
      </c>
      <c r="D272" t="s">
        <v>1060</v>
      </c>
      <c r="E272" t="str">
        <f t="shared" si="17"/>
        <v>pUmem_Sta_HomeIng(07)-&gt;i.user:$2910</v>
      </c>
    </row>
    <row r="273" spans="1:5" x14ac:dyDescent="0.3">
      <c r="A273" s="1">
        <v>10592</v>
      </c>
      <c r="B273" s="1" t="str">
        <f t="shared" si="16"/>
        <v>2960</v>
      </c>
      <c r="C273" t="s">
        <v>1267</v>
      </c>
      <c r="D273" t="s">
        <v>1060</v>
      </c>
      <c r="E273" t="str">
        <f t="shared" si="17"/>
        <v>pUmem_Sta_HomeIng(08)-&gt;i.user:$2960</v>
      </c>
    </row>
    <row r="274" spans="1:5" x14ac:dyDescent="0.3">
      <c r="A274" s="1">
        <v>10672</v>
      </c>
      <c r="B274" s="1" t="str">
        <f t="shared" si="16"/>
        <v>29B0</v>
      </c>
      <c r="C274" t="s">
        <v>1268</v>
      </c>
      <c r="D274" t="s">
        <v>1060</v>
      </c>
      <c r="E274" t="str">
        <f t="shared" si="17"/>
        <v>pUmem_Sta_HomeIng(09)-&gt;i.user:$29B0</v>
      </c>
    </row>
    <row r="275" spans="1:5" x14ac:dyDescent="0.3">
      <c r="A275" s="1">
        <v>10752</v>
      </c>
      <c r="B275" s="1" t="str">
        <f t="shared" si="16"/>
        <v>2A00</v>
      </c>
      <c r="C275" t="s">
        <v>1269</v>
      </c>
      <c r="D275" t="s">
        <v>1060</v>
      </c>
      <c r="E275" t="str">
        <f t="shared" si="17"/>
        <v>pUmem_Sta_HomeIng(10)-&gt;i.user:$2A00</v>
      </c>
    </row>
    <row r="276" spans="1:5" x14ac:dyDescent="0.3">
      <c r="A276" s="1">
        <v>10832</v>
      </c>
      <c r="B276" s="1" t="str">
        <f t="shared" si="16"/>
        <v>2A50</v>
      </c>
      <c r="C276" t="s">
        <v>1270</v>
      </c>
      <c r="D276" t="s">
        <v>1060</v>
      </c>
      <c r="E276" t="str">
        <f t="shared" si="17"/>
        <v>pUmem_Sta_HomeIng(11)-&gt;i.user:$2A50</v>
      </c>
    </row>
    <row r="277" spans="1:5" x14ac:dyDescent="0.3">
      <c r="A277" s="1">
        <v>10912</v>
      </c>
      <c r="B277" s="1" t="str">
        <f t="shared" si="16"/>
        <v>2AA0</v>
      </c>
      <c r="C277" t="s">
        <v>1271</v>
      </c>
      <c r="D277" t="s">
        <v>1060</v>
      </c>
      <c r="E277" t="str">
        <f t="shared" si="17"/>
        <v>pUmem_Sta_HomeIng(12)-&gt;i.user:$2AA0</v>
      </c>
    </row>
    <row r="278" spans="1:5" x14ac:dyDescent="0.3">
      <c r="A278" s="1">
        <v>10992</v>
      </c>
      <c r="B278" s="1" t="str">
        <f t="shared" si="16"/>
        <v>2AF0</v>
      </c>
      <c r="C278" t="s">
        <v>1272</v>
      </c>
      <c r="D278" t="s">
        <v>1060</v>
      </c>
      <c r="E278" t="str">
        <f t="shared" si="17"/>
        <v>pUmem_Sta_HomeIng(13)-&gt;i.user:$2AF0</v>
      </c>
    </row>
    <row r="279" spans="1:5" x14ac:dyDescent="0.3">
      <c r="A279" s="1">
        <v>11072</v>
      </c>
      <c r="B279" s="1" t="str">
        <f t="shared" si="16"/>
        <v>2B40</v>
      </c>
      <c r="C279" t="s">
        <v>1273</v>
      </c>
      <c r="D279" t="s">
        <v>1060</v>
      </c>
      <c r="E279" t="str">
        <f t="shared" si="17"/>
        <v>pUmem_Sta_HomeIng(14)-&gt;i.user:$2B40</v>
      </c>
    </row>
    <row r="280" spans="1:5" x14ac:dyDescent="0.3">
      <c r="A280" s="1">
        <v>11152</v>
      </c>
      <c r="B280" s="1" t="str">
        <f t="shared" si="16"/>
        <v>2B90</v>
      </c>
      <c r="C280" t="s">
        <v>1274</v>
      </c>
      <c r="D280" t="s">
        <v>1060</v>
      </c>
      <c r="E280" t="str">
        <f t="shared" si="17"/>
        <v>pUmem_Sta_HomeIng(15)-&gt;i.user:$2B90</v>
      </c>
    </row>
    <row r="281" spans="1:5" x14ac:dyDescent="0.3">
      <c r="A281" s="1">
        <v>11232</v>
      </c>
      <c r="B281" s="1" t="str">
        <f t="shared" si="16"/>
        <v>2BE0</v>
      </c>
      <c r="C281" t="s">
        <v>1275</v>
      </c>
      <c r="D281" t="s">
        <v>1060</v>
      </c>
      <c r="E281" t="str">
        <f t="shared" si="17"/>
        <v>pUmem_Sta_HomeIng(16)-&gt;i.user:$2BE0</v>
      </c>
    </row>
    <row r="282" spans="1:5" x14ac:dyDescent="0.3">
      <c r="A282" s="1">
        <v>11312</v>
      </c>
      <c r="B282" s="1" t="str">
        <f t="shared" si="16"/>
        <v>2C30</v>
      </c>
      <c r="C282" t="s">
        <v>1276</v>
      </c>
      <c r="D282" t="s">
        <v>1060</v>
      </c>
      <c r="E282" t="str">
        <f t="shared" si="17"/>
        <v>pUmem_Sta_HomeIng(17)-&gt;i.user:$2C30</v>
      </c>
    </row>
    <row r="283" spans="1:5" x14ac:dyDescent="0.3">
      <c r="A283" s="1">
        <v>11392</v>
      </c>
      <c r="B283" s="1" t="str">
        <f t="shared" si="16"/>
        <v>2C80</v>
      </c>
      <c r="C283" t="s">
        <v>1277</v>
      </c>
      <c r="D283" t="s">
        <v>1060</v>
      </c>
      <c r="E283" t="str">
        <f t="shared" si="17"/>
        <v>pUmem_Sta_HomeIng(18)-&gt;i.user:$2C80</v>
      </c>
    </row>
    <row r="284" spans="1:5" x14ac:dyDescent="0.3">
      <c r="A284" s="1">
        <v>11472</v>
      </c>
      <c r="B284" s="1" t="str">
        <f t="shared" si="16"/>
        <v>2CD0</v>
      </c>
      <c r="C284" t="s">
        <v>1278</v>
      </c>
      <c r="D284" t="s">
        <v>1060</v>
      </c>
      <c r="E284" t="str">
        <f t="shared" si="17"/>
        <v>pUmem_Sta_HomeIng(19)-&gt;i.user:$2CD0</v>
      </c>
    </row>
    <row r="285" spans="1:5" x14ac:dyDescent="0.3">
      <c r="A285" s="1">
        <v>11552</v>
      </c>
      <c r="B285" s="1" t="str">
        <f t="shared" si="16"/>
        <v>2D20</v>
      </c>
      <c r="C285" t="s">
        <v>1279</v>
      </c>
      <c r="D285" t="s">
        <v>1060</v>
      </c>
      <c r="E285" t="str">
        <f t="shared" si="17"/>
        <v>pUmem_Sta_HomeIng(20)-&gt;i.user:$2D20</v>
      </c>
    </row>
    <row r="286" spans="1:5" x14ac:dyDescent="0.3">
      <c r="A286" s="1">
        <v>11632</v>
      </c>
      <c r="B286" s="1" t="str">
        <f t="shared" si="16"/>
        <v>2D70</v>
      </c>
      <c r="C286" t="s">
        <v>1280</v>
      </c>
      <c r="D286" t="s">
        <v>1060</v>
      </c>
      <c r="E286" t="str">
        <f t="shared" si="17"/>
        <v>pUmem_Sta_HomeIng(21)-&gt;i.user:$2D70</v>
      </c>
    </row>
    <row r="287" spans="1:5" x14ac:dyDescent="0.3">
      <c r="A287" s="1">
        <v>11712</v>
      </c>
      <c r="B287" s="1" t="str">
        <f t="shared" si="16"/>
        <v>2DC0</v>
      </c>
      <c r="C287" t="s">
        <v>1281</v>
      </c>
      <c r="D287" t="s">
        <v>1060</v>
      </c>
      <c r="E287" t="str">
        <f t="shared" si="17"/>
        <v>pUmem_Sta_HomeIng(22)-&gt;i.user:$2DC0</v>
      </c>
    </row>
    <row r="288" spans="1:5" x14ac:dyDescent="0.3">
      <c r="A288" s="1">
        <v>11792</v>
      </c>
      <c r="B288" s="1" t="str">
        <f t="shared" si="16"/>
        <v>2E10</v>
      </c>
      <c r="C288" t="s">
        <v>1282</v>
      </c>
      <c r="D288" t="s">
        <v>1060</v>
      </c>
      <c r="E288" t="str">
        <f t="shared" si="17"/>
        <v>pUmem_Sta_HomeIng(23)-&gt;i.user:$2E10</v>
      </c>
    </row>
    <row r="289" spans="1:5" x14ac:dyDescent="0.3">
      <c r="A289" s="1">
        <v>11872</v>
      </c>
      <c r="B289" s="1" t="str">
        <f t="shared" si="16"/>
        <v>2E60</v>
      </c>
      <c r="C289" t="s">
        <v>1283</v>
      </c>
      <c r="D289" t="s">
        <v>1060</v>
      </c>
      <c r="E289" t="str">
        <f t="shared" si="17"/>
        <v>pUmem_Sta_HomeIng(24)-&gt;i.user:$2E60</v>
      </c>
    </row>
    <row r="290" spans="1:5" x14ac:dyDescent="0.3">
      <c r="A290" s="1">
        <v>11952</v>
      </c>
      <c r="B290" s="1" t="str">
        <f t="shared" si="16"/>
        <v>2EB0</v>
      </c>
      <c r="C290" t="s">
        <v>1284</v>
      </c>
      <c r="D290" t="s">
        <v>1060</v>
      </c>
      <c r="E290" t="str">
        <f t="shared" si="17"/>
        <v>pUmem_Sta_HomeIng(25)-&gt;i.user:$2EB0</v>
      </c>
    </row>
    <row r="291" spans="1:5" x14ac:dyDescent="0.3">
      <c r="A291" s="1">
        <v>12032</v>
      </c>
      <c r="B291" s="1" t="str">
        <f t="shared" si="16"/>
        <v>2F00</v>
      </c>
      <c r="C291" t="s">
        <v>1285</v>
      </c>
      <c r="D291" t="s">
        <v>1060</v>
      </c>
      <c r="E291" t="str">
        <f t="shared" si="17"/>
        <v>pUmem_Sta_HomeIng(26)-&gt;i.user:$2F00</v>
      </c>
    </row>
    <row r="292" spans="1:5" x14ac:dyDescent="0.3">
      <c r="A292" s="1">
        <v>12112</v>
      </c>
      <c r="B292" s="1" t="str">
        <f t="shared" si="16"/>
        <v>2F50</v>
      </c>
      <c r="C292" t="s">
        <v>1286</v>
      </c>
      <c r="D292" t="s">
        <v>1060</v>
      </c>
      <c r="E292" t="str">
        <f t="shared" si="17"/>
        <v>pUmem_Sta_HomeIng(27)-&gt;i.user:$2F50</v>
      </c>
    </row>
    <row r="293" spans="1:5" x14ac:dyDescent="0.3">
      <c r="A293" s="1">
        <v>12192</v>
      </c>
      <c r="B293" s="1" t="str">
        <f t="shared" si="16"/>
        <v>2FA0</v>
      </c>
      <c r="C293" t="s">
        <v>1287</v>
      </c>
      <c r="D293" t="s">
        <v>1060</v>
      </c>
      <c r="E293" t="str">
        <f t="shared" si="17"/>
        <v>pUmem_Sta_HomeIng(28)-&gt;i.user:$2FA0</v>
      </c>
    </row>
    <row r="294" spans="1:5" x14ac:dyDescent="0.3">
      <c r="A294" s="1">
        <v>12272</v>
      </c>
      <c r="B294" s="1" t="str">
        <f t="shared" si="16"/>
        <v>2FF0</v>
      </c>
      <c r="C294" t="s">
        <v>1288</v>
      </c>
      <c r="D294" t="s">
        <v>1060</v>
      </c>
      <c r="E294" t="str">
        <f t="shared" si="17"/>
        <v>pUmem_Sta_HomeIng(29)-&gt;i.user:$2FF0</v>
      </c>
    </row>
    <row r="295" spans="1:5" x14ac:dyDescent="0.3">
      <c r="A295" s="1">
        <v>12352</v>
      </c>
      <c r="B295" s="1" t="str">
        <f t="shared" si="16"/>
        <v>3040</v>
      </c>
      <c r="C295" t="s">
        <v>1289</v>
      </c>
      <c r="D295" t="s">
        <v>1060</v>
      </c>
      <c r="E295" t="str">
        <f t="shared" si="17"/>
        <v>pUmem_Sta_HomeIng(30)-&gt;i.user:$3040</v>
      </c>
    </row>
    <row r="296" spans="1:5" x14ac:dyDescent="0.3">
      <c r="A296" s="1">
        <v>12432</v>
      </c>
      <c r="B296" s="1" t="str">
        <f t="shared" si="16"/>
        <v>3090</v>
      </c>
      <c r="C296" t="s">
        <v>1290</v>
      </c>
      <c r="D296" t="s">
        <v>1060</v>
      </c>
      <c r="E296" t="str">
        <f t="shared" si="17"/>
        <v>pUmem_Sta_HomeIng(31)-&gt;i.user:$3090</v>
      </c>
    </row>
    <row r="297" spans="1:5" x14ac:dyDescent="0.3">
      <c r="A297" s="1">
        <v>12512</v>
      </c>
      <c r="B297" s="1" t="str">
        <f t="shared" si="16"/>
        <v>30E0</v>
      </c>
      <c r="C297" t="s">
        <v>1291</v>
      </c>
      <c r="D297" t="s">
        <v>1060</v>
      </c>
      <c r="E297" t="str">
        <f t="shared" si="17"/>
        <v>pUmem_Sta_HomeIng(32)-&gt;i.user:$30E0</v>
      </c>
    </row>
    <row r="299" spans="1:5" x14ac:dyDescent="0.3">
      <c r="A299" s="1">
        <v>10036</v>
      </c>
      <c r="B299" s="1" t="str">
        <f>DEC2HEX(A299)</f>
        <v>2734</v>
      </c>
      <c r="C299" t="s">
        <v>1069</v>
      </c>
      <c r="D299" t="s">
        <v>1060</v>
      </c>
      <c r="E299" t="str">
        <f>C299&amp;D299&amp;B299</f>
        <v>pUmem_Sta_LimitMinus(01)-&gt;i.user:$2734</v>
      </c>
    </row>
    <row r="300" spans="1:5" x14ac:dyDescent="0.3">
      <c r="A300" s="1">
        <v>10116</v>
      </c>
      <c r="B300" s="1" t="str">
        <f t="shared" ref="B300:B330" si="18">DEC2HEX(A300)</f>
        <v>2784</v>
      </c>
      <c r="C300" t="s">
        <v>1230</v>
      </c>
      <c r="D300" t="s">
        <v>1060</v>
      </c>
      <c r="E300" t="str">
        <f t="shared" ref="E300:E330" si="19">C300&amp;D300&amp;B300</f>
        <v>pUmem_Sta_LimitMinus(02)-&gt;i.user:$2784</v>
      </c>
    </row>
    <row r="301" spans="1:5" x14ac:dyDescent="0.3">
      <c r="A301" s="1">
        <v>10196</v>
      </c>
      <c r="B301" s="1" t="str">
        <f t="shared" si="18"/>
        <v>27D4</v>
      </c>
      <c r="C301" t="s">
        <v>1231</v>
      </c>
      <c r="D301" t="s">
        <v>1060</v>
      </c>
      <c r="E301" t="str">
        <f t="shared" si="19"/>
        <v>pUmem_Sta_LimitMinus(03)-&gt;i.user:$27D4</v>
      </c>
    </row>
    <row r="302" spans="1:5" x14ac:dyDescent="0.3">
      <c r="A302" s="1">
        <v>10276</v>
      </c>
      <c r="B302" s="1" t="str">
        <f t="shared" si="18"/>
        <v>2824</v>
      </c>
      <c r="C302" t="s">
        <v>1232</v>
      </c>
      <c r="D302" t="s">
        <v>1060</v>
      </c>
      <c r="E302" t="str">
        <f t="shared" si="19"/>
        <v>pUmem_Sta_LimitMinus(04)-&gt;i.user:$2824</v>
      </c>
    </row>
    <row r="303" spans="1:5" x14ac:dyDescent="0.3">
      <c r="A303" s="1">
        <v>10356</v>
      </c>
      <c r="B303" s="1" t="str">
        <f t="shared" si="18"/>
        <v>2874</v>
      </c>
      <c r="C303" t="s">
        <v>1233</v>
      </c>
      <c r="D303" t="s">
        <v>1060</v>
      </c>
      <c r="E303" t="str">
        <f t="shared" si="19"/>
        <v>pUmem_Sta_LimitMinus(05)-&gt;i.user:$2874</v>
      </c>
    </row>
    <row r="304" spans="1:5" x14ac:dyDescent="0.3">
      <c r="A304" s="1">
        <v>10436</v>
      </c>
      <c r="B304" s="1" t="str">
        <f t="shared" si="18"/>
        <v>28C4</v>
      </c>
      <c r="C304" t="s">
        <v>1234</v>
      </c>
      <c r="D304" t="s">
        <v>1060</v>
      </c>
      <c r="E304" t="str">
        <f t="shared" si="19"/>
        <v>pUmem_Sta_LimitMinus(06)-&gt;i.user:$28C4</v>
      </c>
    </row>
    <row r="305" spans="1:5" x14ac:dyDescent="0.3">
      <c r="A305" s="1">
        <v>10516</v>
      </c>
      <c r="B305" s="1" t="str">
        <f t="shared" si="18"/>
        <v>2914</v>
      </c>
      <c r="C305" t="s">
        <v>1235</v>
      </c>
      <c r="D305" t="s">
        <v>1060</v>
      </c>
      <c r="E305" t="str">
        <f t="shared" si="19"/>
        <v>pUmem_Sta_LimitMinus(07)-&gt;i.user:$2914</v>
      </c>
    </row>
    <row r="306" spans="1:5" x14ac:dyDescent="0.3">
      <c r="A306" s="1">
        <v>10596</v>
      </c>
      <c r="B306" s="1" t="str">
        <f t="shared" si="18"/>
        <v>2964</v>
      </c>
      <c r="C306" t="s">
        <v>1236</v>
      </c>
      <c r="D306" t="s">
        <v>1060</v>
      </c>
      <c r="E306" t="str">
        <f t="shared" si="19"/>
        <v>pUmem_Sta_LimitMinus(08)-&gt;i.user:$2964</v>
      </c>
    </row>
    <row r="307" spans="1:5" x14ac:dyDescent="0.3">
      <c r="A307" s="1">
        <v>10676</v>
      </c>
      <c r="B307" s="1" t="str">
        <f t="shared" si="18"/>
        <v>29B4</v>
      </c>
      <c r="C307" t="s">
        <v>1237</v>
      </c>
      <c r="D307" t="s">
        <v>1060</v>
      </c>
      <c r="E307" t="str">
        <f t="shared" si="19"/>
        <v>pUmem_Sta_LimitMinus(09)-&gt;i.user:$29B4</v>
      </c>
    </row>
    <row r="308" spans="1:5" x14ac:dyDescent="0.3">
      <c r="A308" s="1">
        <v>10756</v>
      </c>
      <c r="B308" s="1" t="str">
        <f t="shared" si="18"/>
        <v>2A04</v>
      </c>
      <c r="C308" t="s">
        <v>1238</v>
      </c>
      <c r="D308" t="s">
        <v>1060</v>
      </c>
      <c r="E308" t="str">
        <f t="shared" si="19"/>
        <v>pUmem_Sta_LimitMinus(10)-&gt;i.user:$2A04</v>
      </c>
    </row>
    <row r="309" spans="1:5" x14ac:dyDescent="0.3">
      <c r="A309" s="1">
        <v>10836</v>
      </c>
      <c r="B309" s="1" t="str">
        <f t="shared" si="18"/>
        <v>2A54</v>
      </c>
      <c r="C309" t="s">
        <v>1239</v>
      </c>
      <c r="D309" t="s">
        <v>1060</v>
      </c>
      <c r="E309" t="str">
        <f t="shared" si="19"/>
        <v>pUmem_Sta_LimitMinus(11)-&gt;i.user:$2A54</v>
      </c>
    </row>
    <row r="310" spans="1:5" x14ac:dyDescent="0.3">
      <c r="A310" s="1">
        <v>10916</v>
      </c>
      <c r="B310" s="1" t="str">
        <f t="shared" si="18"/>
        <v>2AA4</v>
      </c>
      <c r="C310" t="s">
        <v>1240</v>
      </c>
      <c r="D310" t="s">
        <v>1060</v>
      </c>
      <c r="E310" t="str">
        <f t="shared" si="19"/>
        <v>pUmem_Sta_LimitMinus(12)-&gt;i.user:$2AA4</v>
      </c>
    </row>
    <row r="311" spans="1:5" x14ac:dyDescent="0.3">
      <c r="A311" s="1">
        <v>10996</v>
      </c>
      <c r="B311" s="1" t="str">
        <f t="shared" si="18"/>
        <v>2AF4</v>
      </c>
      <c r="C311" t="s">
        <v>1241</v>
      </c>
      <c r="D311" t="s">
        <v>1060</v>
      </c>
      <c r="E311" t="str">
        <f t="shared" si="19"/>
        <v>pUmem_Sta_LimitMinus(13)-&gt;i.user:$2AF4</v>
      </c>
    </row>
    <row r="312" spans="1:5" x14ac:dyDescent="0.3">
      <c r="A312" s="1">
        <v>11076</v>
      </c>
      <c r="B312" s="1" t="str">
        <f t="shared" si="18"/>
        <v>2B44</v>
      </c>
      <c r="C312" t="s">
        <v>1242</v>
      </c>
      <c r="D312" t="s">
        <v>1060</v>
      </c>
      <c r="E312" t="str">
        <f t="shared" si="19"/>
        <v>pUmem_Sta_LimitMinus(14)-&gt;i.user:$2B44</v>
      </c>
    </row>
    <row r="313" spans="1:5" x14ac:dyDescent="0.3">
      <c r="A313" s="1">
        <v>11156</v>
      </c>
      <c r="B313" s="1" t="str">
        <f t="shared" si="18"/>
        <v>2B94</v>
      </c>
      <c r="C313" t="s">
        <v>1243</v>
      </c>
      <c r="D313" t="s">
        <v>1060</v>
      </c>
      <c r="E313" t="str">
        <f t="shared" si="19"/>
        <v>pUmem_Sta_LimitMinus(15)-&gt;i.user:$2B94</v>
      </c>
    </row>
    <row r="314" spans="1:5" x14ac:dyDescent="0.3">
      <c r="A314" s="1">
        <v>11236</v>
      </c>
      <c r="B314" s="1" t="str">
        <f t="shared" si="18"/>
        <v>2BE4</v>
      </c>
      <c r="C314" t="s">
        <v>1244</v>
      </c>
      <c r="D314" t="s">
        <v>1060</v>
      </c>
      <c r="E314" t="str">
        <f t="shared" si="19"/>
        <v>pUmem_Sta_LimitMinus(16)-&gt;i.user:$2BE4</v>
      </c>
    </row>
    <row r="315" spans="1:5" x14ac:dyDescent="0.3">
      <c r="A315" s="1">
        <v>11316</v>
      </c>
      <c r="B315" s="1" t="str">
        <f t="shared" si="18"/>
        <v>2C34</v>
      </c>
      <c r="C315" t="s">
        <v>1245</v>
      </c>
      <c r="D315" t="s">
        <v>1060</v>
      </c>
      <c r="E315" t="str">
        <f t="shared" si="19"/>
        <v>pUmem_Sta_LimitMinus(17)-&gt;i.user:$2C34</v>
      </c>
    </row>
    <row r="316" spans="1:5" x14ac:dyDescent="0.3">
      <c r="A316" s="1">
        <v>11396</v>
      </c>
      <c r="B316" s="1" t="str">
        <f t="shared" si="18"/>
        <v>2C84</v>
      </c>
      <c r="C316" t="s">
        <v>1246</v>
      </c>
      <c r="D316" t="s">
        <v>1060</v>
      </c>
      <c r="E316" t="str">
        <f t="shared" si="19"/>
        <v>pUmem_Sta_LimitMinus(18)-&gt;i.user:$2C84</v>
      </c>
    </row>
    <row r="317" spans="1:5" x14ac:dyDescent="0.3">
      <c r="A317" s="1">
        <v>11476</v>
      </c>
      <c r="B317" s="1" t="str">
        <f t="shared" si="18"/>
        <v>2CD4</v>
      </c>
      <c r="C317" t="s">
        <v>1247</v>
      </c>
      <c r="D317" t="s">
        <v>1060</v>
      </c>
      <c r="E317" t="str">
        <f t="shared" si="19"/>
        <v>pUmem_Sta_LimitMinus(19)-&gt;i.user:$2CD4</v>
      </c>
    </row>
    <row r="318" spans="1:5" x14ac:dyDescent="0.3">
      <c r="A318" s="1">
        <v>11556</v>
      </c>
      <c r="B318" s="1" t="str">
        <f t="shared" si="18"/>
        <v>2D24</v>
      </c>
      <c r="C318" t="s">
        <v>1248</v>
      </c>
      <c r="D318" t="s">
        <v>1060</v>
      </c>
      <c r="E318" t="str">
        <f t="shared" si="19"/>
        <v>pUmem_Sta_LimitMinus(20)-&gt;i.user:$2D24</v>
      </c>
    </row>
    <row r="319" spans="1:5" x14ac:dyDescent="0.3">
      <c r="A319" s="1">
        <v>11636</v>
      </c>
      <c r="B319" s="1" t="str">
        <f t="shared" si="18"/>
        <v>2D74</v>
      </c>
      <c r="C319" t="s">
        <v>1249</v>
      </c>
      <c r="D319" t="s">
        <v>1060</v>
      </c>
      <c r="E319" t="str">
        <f t="shared" si="19"/>
        <v>pUmem_Sta_LimitMinus(21)-&gt;i.user:$2D74</v>
      </c>
    </row>
    <row r="320" spans="1:5" x14ac:dyDescent="0.3">
      <c r="A320" s="1">
        <v>11716</v>
      </c>
      <c r="B320" s="1" t="str">
        <f t="shared" si="18"/>
        <v>2DC4</v>
      </c>
      <c r="C320" t="s">
        <v>1250</v>
      </c>
      <c r="D320" t="s">
        <v>1060</v>
      </c>
      <c r="E320" t="str">
        <f t="shared" si="19"/>
        <v>pUmem_Sta_LimitMinus(22)-&gt;i.user:$2DC4</v>
      </c>
    </row>
    <row r="321" spans="1:5" x14ac:dyDescent="0.3">
      <c r="A321" s="1">
        <v>11796</v>
      </c>
      <c r="B321" s="1" t="str">
        <f t="shared" si="18"/>
        <v>2E14</v>
      </c>
      <c r="C321" t="s">
        <v>1251</v>
      </c>
      <c r="D321" t="s">
        <v>1060</v>
      </c>
      <c r="E321" t="str">
        <f t="shared" si="19"/>
        <v>pUmem_Sta_LimitMinus(23)-&gt;i.user:$2E14</v>
      </c>
    </row>
    <row r="322" spans="1:5" x14ac:dyDescent="0.3">
      <c r="A322" s="1">
        <v>11876</v>
      </c>
      <c r="B322" s="1" t="str">
        <f t="shared" si="18"/>
        <v>2E64</v>
      </c>
      <c r="C322" t="s">
        <v>1252</v>
      </c>
      <c r="D322" t="s">
        <v>1060</v>
      </c>
      <c r="E322" t="str">
        <f t="shared" si="19"/>
        <v>pUmem_Sta_LimitMinus(24)-&gt;i.user:$2E64</v>
      </c>
    </row>
    <row r="323" spans="1:5" x14ac:dyDescent="0.3">
      <c r="A323" s="1">
        <v>11956</v>
      </c>
      <c r="B323" s="1" t="str">
        <f t="shared" si="18"/>
        <v>2EB4</v>
      </c>
      <c r="C323" t="s">
        <v>1253</v>
      </c>
      <c r="D323" t="s">
        <v>1060</v>
      </c>
      <c r="E323" t="str">
        <f t="shared" si="19"/>
        <v>pUmem_Sta_LimitMinus(25)-&gt;i.user:$2EB4</v>
      </c>
    </row>
    <row r="324" spans="1:5" x14ac:dyDescent="0.3">
      <c r="A324" s="1">
        <v>12036</v>
      </c>
      <c r="B324" s="1" t="str">
        <f t="shared" si="18"/>
        <v>2F04</v>
      </c>
      <c r="C324" t="s">
        <v>1254</v>
      </c>
      <c r="D324" t="s">
        <v>1060</v>
      </c>
      <c r="E324" t="str">
        <f t="shared" si="19"/>
        <v>pUmem_Sta_LimitMinus(26)-&gt;i.user:$2F04</v>
      </c>
    </row>
    <row r="325" spans="1:5" x14ac:dyDescent="0.3">
      <c r="A325" s="1">
        <v>12116</v>
      </c>
      <c r="B325" s="1" t="str">
        <f t="shared" si="18"/>
        <v>2F54</v>
      </c>
      <c r="C325" t="s">
        <v>1255</v>
      </c>
      <c r="D325" t="s">
        <v>1060</v>
      </c>
      <c r="E325" t="str">
        <f t="shared" si="19"/>
        <v>pUmem_Sta_LimitMinus(27)-&gt;i.user:$2F54</v>
      </c>
    </row>
    <row r="326" spans="1:5" x14ac:dyDescent="0.3">
      <c r="A326" s="1">
        <v>12196</v>
      </c>
      <c r="B326" s="1" t="str">
        <f t="shared" si="18"/>
        <v>2FA4</v>
      </c>
      <c r="C326" t="s">
        <v>1256</v>
      </c>
      <c r="D326" t="s">
        <v>1060</v>
      </c>
      <c r="E326" t="str">
        <f t="shared" si="19"/>
        <v>pUmem_Sta_LimitMinus(28)-&gt;i.user:$2FA4</v>
      </c>
    </row>
    <row r="327" spans="1:5" x14ac:dyDescent="0.3">
      <c r="A327" s="1">
        <v>12276</v>
      </c>
      <c r="B327" s="1" t="str">
        <f t="shared" si="18"/>
        <v>2FF4</v>
      </c>
      <c r="C327" t="s">
        <v>1257</v>
      </c>
      <c r="D327" t="s">
        <v>1060</v>
      </c>
      <c r="E327" t="str">
        <f t="shared" si="19"/>
        <v>pUmem_Sta_LimitMinus(29)-&gt;i.user:$2FF4</v>
      </c>
    </row>
    <row r="328" spans="1:5" x14ac:dyDescent="0.3">
      <c r="A328" s="1">
        <v>12356</v>
      </c>
      <c r="B328" s="1" t="str">
        <f t="shared" si="18"/>
        <v>3044</v>
      </c>
      <c r="C328" t="s">
        <v>1258</v>
      </c>
      <c r="D328" t="s">
        <v>1060</v>
      </c>
      <c r="E328" t="str">
        <f t="shared" si="19"/>
        <v>pUmem_Sta_LimitMinus(30)-&gt;i.user:$3044</v>
      </c>
    </row>
    <row r="329" spans="1:5" x14ac:dyDescent="0.3">
      <c r="A329" s="1">
        <v>12436</v>
      </c>
      <c r="B329" s="1" t="str">
        <f t="shared" si="18"/>
        <v>3094</v>
      </c>
      <c r="C329" t="s">
        <v>1259</v>
      </c>
      <c r="D329" t="s">
        <v>1060</v>
      </c>
      <c r="E329" t="str">
        <f t="shared" si="19"/>
        <v>pUmem_Sta_LimitMinus(31)-&gt;i.user:$3094</v>
      </c>
    </row>
    <row r="330" spans="1:5" x14ac:dyDescent="0.3">
      <c r="A330" s="1">
        <v>12516</v>
      </c>
      <c r="B330" s="1" t="str">
        <f t="shared" si="18"/>
        <v>30E4</v>
      </c>
      <c r="C330" t="s">
        <v>1260</v>
      </c>
      <c r="D330" t="s">
        <v>1060</v>
      </c>
      <c r="E330" t="str">
        <f t="shared" si="19"/>
        <v>pUmem_Sta_LimitMinus(32)-&gt;i.user:$30E4</v>
      </c>
    </row>
    <row r="332" spans="1:5" x14ac:dyDescent="0.3">
      <c r="A332" s="1">
        <v>10040</v>
      </c>
      <c r="B332" s="1" t="str">
        <f>DEC2HEX(A332)</f>
        <v>2738</v>
      </c>
      <c r="C332" t="s">
        <v>1070</v>
      </c>
      <c r="D332" t="s">
        <v>1060</v>
      </c>
      <c r="E332" t="str">
        <f>C332&amp;D332&amp;B332</f>
        <v>pUmem_Sta_LimitPlus(01)-&gt;i.user:$2738</v>
      </c>
    </row>
    <row r="333" spans="1:5" x14ac:dyDescent="0.3">
      <c r="A333" s="1">
        <v>10120</v>
      </c>
      <c r="B333" s="1" t="str">
        <f t="shared" ref="B333:B363" si="20">DEC2HEX(A333)</f>
        <v>2788</v>
      </c>
      <c r="C333" t="s">
        <v>1199</v>
      </c>
      <c r="D333" t="s">
        <v>1060</v>
      </c>
      <c r="E333" t="str">
        <f t="shared" ref="E333:E363" si="21">C333&amp;D333&amp;B333</f>
        <v>pUmem_Sta_LimitPlus(02)-&gt;i.user:$2788</v>
      </c>
    </row>
    <row r="334" spans="1:5" x14ac:dyDescent="0.3">
      <c r="A334" s="1">
        <v>10200</v>
      </c>
      <c r="B334" s="1" t="str">
        <f t="shared" si="20"/>
        <v>27D8</v>
      </c>
      <c r="C334" t="s">
        <v>1200</v>
      </c>
      <c r="D334" t="s">
        <v>1060</v>
      </c>
      <c r="E334" t="str">
        <f t="shared" si="21"/>
        <v>pUmem_Sta_LimitPlus(03)-&gt;i.user:$27D8</v>
      </c>
    </row>
    <row r="335" spans="1:5" x14ac:dyDescent="0.3">
      <c r="A335" s="1">
        <v>10280</v>
      </c>
      <c r="B335" s="1" t="str">
        <f t="shared" si="20"/>
        <v>2828</v>
      </c>
      <c r="C335" t="s">
        <v>1201</v>
      </c>
      <c r="D335" t="s">
        <v>1060</v>
      </c>
      <c r="E335" t="str">
        <f t="shared" si="21"/>
        <v>pUmem_Sta_LimitPlus(04)-&gt;i.user:$2828</v>
      </c>
    </row>
    <row r="336" spans="1:5" x14ac:dyDescent="0.3">
      <c r="A336" s="1">
        <v>10360</v>
      </c>
      <c r="B336" s="1" t="str">
        <f t="shared" si="20"/>
        <v>2878</v>
      </c>
      <c r="C336" t="s">
        <v>1202</v>
      </c>
      <c r="D336" t="s">
        <v>1060</v>
      </c>
      <c r="E336" t="str">
        <f t="shared" si="21"/>
        <v>pUmem_Sta_LimitPlus(05)-&gt;i.user:$2878</v>
      </c>
    </row>
    <row r="337" spans="1:5" x14ac:dyDescent="0.3">
      <c r="A337" s="1">
        <v>10440</v>
      </c>
      <c r="B337" s="1" t="str">
        <f t="shared" si="20"/>
        <v>28C8</v>
      </c>
      <c r="C337" t="s">
        <v>1203</v>
      </c>
      <c r="D337" t="s">
        <v>1060</v>
      </c>
      <c r="E337" t="str">
        <f t="shared" si="21"/>
        <v>pUmem_Sta_LimitPlus(06)-&gt;i.user:$28C8</v>
      </c>
    </row>
    <row r="338" spans="1:5" x14ac:dyDescent="0.3">
      <c r="A338" s="1">
        <v>10520</v>
      </c>
      <c r="B338" s="1" t="str">
        <f t="shared" si="20"/>
        <v>2918</v>
      </c>
      <c r="C338" t="s">
        <v>1204</v>
      </c>
      <c r="D338" t="s">
        <v>1060</v>
      </c>
      <c r="E338" t="str">
        <f t="shared" si="21"/>
        <v>pUmem_Sta_LimitPlus(07)-&gt;i.user:$2918</v>
      </c>
    </row>
    <row r="339" spans="1:5" x14ac:dyDescent="0.3">
      <c r="A339" s="1">
        <v>10600</v>
      </c>
      <c r="B339" s="1" t="str">
        <f t="shared" si="20"/>
        <v>2968</v>
      </c>
      <c r="C339" t="s">
        <v>1205</v>
      </c>
      <c r="D339" t="s">
        <v>1060</v>
      </c>
      <c r="E339" t="str">
        <f t="shared" si="21"/>
        <v>pUmem_Sta_LimitPlus(08)-&gt;i.user:$2968</v>
      </c>
    </row>
    <row r="340" spans="1:5" x14ac:dyDescent="0.3">
      <c r="A340" s="1">
        <v>10680</v>
      </c>
      <c r="B340" s="1" t="str">
        <f t="shared" si="20"/>
        <v>29B8</v>
      </c>
      <c r="C340" t="s">
        <v>1206</v>
      </c>
      <c r="D340" t="s">
        <v>1060</v>
      </c>
      <c r="E340" t="str">
        <f t="shared" si="21"/>
        <v>pUmem_Sta_LimitPlus(09)-&gt;i.user:$29B8</v>
      </c>
    </row>
    <row r="341" spans="1:5" x14ac:dyDescent="0.3">
      <c r="A341" s="1">
        <v>10760</v>
      </c>
      <c r="B341" s="1" t="str">
        <f t="shared" si="20"/>
        <v>2A08</v>
      </c>
      <c r="C341" t="s">
        <v>1207</v>
      </c>
      <c r="D341" t="s">
        <v>1060</v>
      </c>
      <c r="E341" t="str">
        <f t="shared" si="21"/>
        <v>pUmem_Sta_LimitPlus(10)-&gt;i.user:$2A08</v>
      </c>
    </row>
    <row r="342" spans="1:5" x14ac:dyDescent="0.3">
      <c r="A342" s="1">
        <v>10840</v>
      </c>
      <c r="B342" s="1" t="str">
        <f t="shared" si="20"/>
        <v>2A58</v>
      </c>
      <c r="C342" t="s">
        <v>1208</v>
      </c>
      <c r="D342" t="s">
        <v>1060</v>
      </c>
      <c r="E342" t="str">
        <f t="shared" si="21"/>
        <v>pUmem_Sta_LimitPlus(11)-&gt;i.user:$2A58</v>
      </c>
    </row>
    <row r="343" spans="1:5" x14ac:dyDescent="0.3">
      <c r="A343" s="1">
        <v>10920</v>
      </c>
      <c r="B343" s="1" t="str">
        <f t="shared" si="20"/>
        <v>2AA8</v>
      </c>
      <c r="C343" t="s">
        <v>1209</v>
      </c>
      <c r="D343" t="s">
        <v>1060</v>
      </c>
      <c r="E343" t="str">
        <f t="shared" si="21"/>
        <v>pUmem_Sta_LimitPlus(12)-&gt;i.user:$2AA8</v>
      </c>
    </row>
    <row r="344" spans="1:5" x14ac:dyDescent="0.3">
      <c r="A344" s="1">
        <v>11000</v>
      </c>
      <c r="B344" s="1" t="str">
        <f t="shared" si="20"/>
        <v>2AF8</v>
      </c>
      <c r="C344" t="s">
        <v>1210</v>
      </c>
      <c r="D344" t="s">
        <v>1060</v>
      </c>
      <c r="E344" t="str">
        <f t="shared" si="21"/>
        <v>pUmem_Sta_LimitPlus(13)-&gt;i.user:$2AF8</v>
      </c>
    </row>
    <row r="345" spans="1:5" x14ac:dyDescent="0.3">
      <c r="A345" s="1">
        <v>11080</v>
      </c>
      <c r="B345" s="1" t="str">
        <f t="shared" si="20"/>
        <v>2B48</v>
      </c>
      <c r="C345" t="s">
        <v>1211</v>
      </c>
      <c r="D345" t="s">
        <v>1060</v>
      </c>
      <c r="E345" t="str">
        <f t="shared" si="21"/>
        <v>pUmem_Sta_LimitPlus(14)-&gt;i.user:$2B48</v>
      </c>
    </row>
    <row r="346" spans="1:5" x14ac:dyDescent="0.3">
      <c r="A346" s="1">
        <v>11160</v>
      </c>
      <c r="B346" s="1" t="str">
        <f t="shared" si="20"/>
        <v>2B98</v>
      </c>
      <c r="C346" t="s">
        <v>1212</v>
      </c>
      <c r="D346" t="s">
        <v>1060</v>
      </c>
      <c r="E346" t="str">
        <f t="shared" si="21"/>
        <v>pUmem_Sta_LimitPlus(15)-&gt;i.user:$2B98</v>
      </c>
    </row>
    <row r="347" spans="1:5" x14ac:dyDescent="0.3">
      <c r="A347" s="1">
        <v>11240</v>
      </c>
      <c r="B347" s="1" t="str">
        <f t="shared" si="20"/>
        <v>2BE8</v>
      </c>
      <c r="C347" t="s">
        <v>1213</v>
      </c>
      <c r="D347" t="s">
        <v>1060</v>
      </c>
      <c r="E347" t="str">
        <f t="shared" si="21"/>
        <v>pUmem_Sta_LimitPlus(16)-&gt;i.user:$2BE8</v>
      </c>
    </row>
    <row r="348" spans="1:5" x14ac:dyDescent="0.3">
      <c r="A348" s="1">
        <v>11320</v>
      </c>
      <c r="B348" s="1" t="str">
        <f t="shared" si="20"/>
        <v>2C38</v>
      </c>
      <c r="C348" t="s">
        <v>1214</v>
      </c>
      <c r="D348" t="s">
        <v>1060</v>
      </c>
      <c r="E348" t="str">
        <f t="shared" si="21"/>
        <v>pUmem_Sta_LimitPlus(17)-&gt;i.user:$2C38</v>
      </c>
    </row>
    <row r="349" spans="1:5" x14ac:dyDescent="0.3">
      <c r="A349" s="1">
        <v>11400</v>
      </c>
      <c r="B349" s="1" t="str">
        <f t="shared" si="20"/>
        <v>2C88</v>
      </c>
      <c r="C349" t="s">
        <v>1215</v>
      </c>
      <c r="D349" t="s">
        <v>1060</v>
      </c>
      <c r="E349" t="str">
        <f t="shared" si="21"/>
        <v>pUmem_Sta_LimitPlus(18)-&gt;i.user:$2C88</v>
      </c>
    </row>
    <row r="350" spans="1:5" x14ac:dyDescent="0.3">
      <c r="A350" s="1">
        <v>11480</v>
      </c>
      <c r="B350" s="1" t="str">
        <f t="shared" si="20"/>
        <v>2CD8</v>
      </c>
      <c r="C350" t="s">
        <v>1216</v>
      </c>
      <c r="D350" t="s">
        <v>1060</v>
      </c>
      <c r="E350" t="str">
        <f t="shared" si="21"/>
        <v>pUmem_Sta_LimitPlus(19)-&gt;i.user:$2CD8</v>
      </c>
    </row>
    <row r="351" spans="1:5" x14ac:dyDescent="0.3">
      <c r="A351" s="1">
        <v>11560</v>
      </c>
      <c r="B351" s="1" t="str">
        <f t="shared" si="20"/>
        <v>2D28</v>
      </c>
      <c r="C351" t="s">
        <v>1217</v>
      </c>
      <c r="D351" t="s">
        <v>1060</v>
      </c>
      <c r="E351" t="str">
        <f t="shared" si="21"/>
        <v>pUmem_Sta_LimitPlus(20)-&gt;i.user:$2D28</v>
      </c>
    </row>
    <row r="352" spans="1:5" x14ac:dyDescent="0.3">
      <c r="A352" s="1">
        <v>11640</v>
      </c>
      <c r="B352" s="1" t="str">
        <f t="shared" si="20"/>
        <v>2D78</v>
      </c>
      <c r="C352" t="s">
        <v>1218</v>
      </c>
      <c r="D352" t="s">
        <v>1060</v>
      </c>
      <c r="E352" t="str">
        <f t="shared" si="21"/>
        <v>pUmem_Sta_LimitPlus(21)-&gt;i.user:$2D78</v>
      </c>
    </row>
    <row r="353" spans="1:5" x14ac:dyDescent="0.3">
      <c r="A353" s="1">
        <v>11720</v>
      </c>
      <c r="B353" s="1" t="str">
        <f t="shared" si="20"/>
        <v>2DC8</v>
      </c>
      <c r="C353" t="s">
        <v>1219</v>
      </c>
      <c r="D353" t="s">
        <v>1060</v>
      </c>
      <c r="E353" t="str">
        <f t="shared" si="21"/>
        <v>pUmem_Sta_LimitPlus(22)-&gt;i.user:$2DC8</v>
      </c>
    </row>
    <row r="354" spans="1:5" x14ac:dyDescent="0.3">
      <c r="A354" s="1">
        <v>11800</v>
      </c>
      <c r="B354" s="1" t="str">
        <f t="shared" si="20"/>
        <v>2E18</v>
      </c>
      <c r="C354" t="s">
        <v>1220</v>
      </c>
      <c r="D354" t="s">
        <v>1060</v>
      </c>
      <c r="E354" t="str">
        <f t="shared" si="21"/>
        <v>pUmem_Sta_LimitPlus(23)-&gt;i.user:$2E18</v>
      </c>
    </row>
    <row r="355" spans="1:5" x14ac:dyDescent="0.3">
      <c r="A355" s="1">
        <v>11880</v>
      </c>
      <c r="B355" s="1" t="str">
        <f t="shared" si="20"/>
        <v>2E68</v>
      </c>
      <c r="C355" t="s">
        <v>1221</v>
      </c>
      <c r="D355" t="s">
        <v>1060</v>
      </c>
      <c r="E355" t="str">
        <f t="shared" si="21"/>
        <v>pUmem_Sta_LimitPlus(24)-&gt;i.user:$2E68</v>
      </c>
    </row>
    <row r="356" spans="1:5" x14ac:dyDescent="0.3">
      <c r="A356" s="1">
        <v>11960</v>
      </c>
      <c r="B356" s="1" t="str">
        <f t="shared" si="20"/>
        <v>2EB8</v>
      </c>
      <c r="C356" t="s">
        <v>1222</v>
      </c>
      <c r="D356" t="s">
        <v>1060</v>
      </c>
      <c r="E356" t="str">
        <f t="shared" si="21"/>
        <v>pUmem_Sta_LimitPlus(25)-&gt;i.user:$2EB8</v>
      </c>
    </row>
    <row r="357" spans="1:5" x14ac:dyDescent="0.3">
      <c r="A357" s="1">
        <v>12040</v>
      </c>
      <c r="B357" s="1" t="str">
        <f t="shared" si="20"/>
        <v>2F08</v>
      </c>
      <c r="C357" t="s">
        <v>1223</v>
      </c>
      <c r="D357" t="s">
        <v>1060</v>
      </c>
      <c r="E357" t="str">
        <f t="shared" si="21"/>
        <v>pUmem_Sta_LimitPlus(26)-&gt;i.user:$2F08</v>
      </c>
    </row>
    <row r="358" spans="1:5" x14ac:dyDescent="0.3">
      <c r="A358" s="1">
        <v>12120</v>
      </c>
      <c r="B358" s="1" t="str">
        <f t="shared" si="20"/>
        <v>2F58</v>
      </c>
      <c r="C358" t="s">
        <v>1224</v>
      </c>
      <c r="D358" t="s">
        <v>1060</v>
      </c>
      <c r="E358" t="str">
        <f t="shared" si="21"/>
        <v>pUmem_Sta_LimitPlus(27)-&gt;i.user:$2F58</v>
      </c>
    </row>
    <row r="359" spans="1:5" x14ac:dyDescent="0.3">
      <c r="A359" s="1">
        <v>12200</v>
      </c>
      <c r="B359" s="1" t="str">
        <f t="shared" si="20"/>
        <v>2FA8</v>
      </c>
      <c r="C359" t="s">
        <v>1225</v>
      </c>
      <c r="D359" t="s">
        <v>1060</v>
      </c>
      <c r="E359" t="str">
        <f t="shared" si="21"/>
        <v>pUmem_Sta_LimitPlus(28)-&gt;i.user:$2FA8</v>
      </c>
    </row>
    <row r="360" spans="1:5" x14ac:dyDescent="0.3">
      <c r="A360" s="1">
        <v>12280</v>
      </c>
      <c r="B360" s="1" t="str">
        <f t="shared" si="20"/>
        <v>2FF8</v>
      </c>
      <c r="C360" t="s">
        <v>1226</v>
      </c>
      <c r="D360" t="s">
        <v>1060</v>
      </c>
      <c r="E360" t="str">
        <f t="shared" si="21"/>
        <v>pUmem_Sta_LimitPlus(29)-&gt;i.user:$2FF8</v>
      </c>
    </row>
    <row r="361" spans="1:5" x14ac:dyDescent="0.3">
      <c r="A361" s="1">
        <v>12360</v>
      </c>
      <c r="B361" s="1" t="str">
        <f t="shared" si="20"/>
        <v>3048</v>
      </c>
      <c r="C361" t="s">
        <v>1227</v>
      </c>
      <c r="D361" t="s">
        <v>1060</v>
      </c>
      <c r="E361" t="str">
        <f t="shared" si="21"/>
        <v>pUmem_Sta_LimitPlus(30)-&gt;i.user:$3048</v>
      </c>
    </row>
    <row r="362" spans="1:5" x14ac:dyDescent="0.3">
      <c r="A362" s="1">
        <v>12440</v>
      </c>
      <c r="B362" s="1" t="str">
        <f t="shared" si="20"/>
        <v>3098</v>
      </c>
      <c r="C362" t="s">
        <v>1228</v>
      </c>
      <c r="D362" t="s">
        <v>1060</v>
      </c>
      <c r="E362" t="str">
        <f t="shared" si="21"/>
        <v>pUmem_Sta_LimitPlus(31)-&gt;i.user:$3098</v>
      </c>
    </row>
    <row r="363" spans="1:5" x14ac:dyDescent="0.3">
      <c r="A363" s="1">
        <v>12520</v>
      </c>
      <c r="B363" s="1" t="str">
        <f t="shared" si="20"/>
        <v>30E8</v>
      </c>
      <c r="C363" t="s">
        <v>1229</v>
      </c>
      <c r="D363" t="s">
        <v>1060</v>
      </c>
      <c r="E363" t="str">
        <f t="shared" si="21"/>
        <v>pUmem_Sta_LimitPlus(32)-&gt;i.user:$30E8</v>
      </c>
    </row>
    <row r="365" spans="1:5" x14ac:dyDescent="0.3">
      <c r="A365" s="1">
        <v>10044</v>
      </c>
      <c r="B365" s="1" t="str">
        <f>DEC2HEX(A365)</f>
        <v>273C</v>
      </c>
      <c r="C365" t="s">
        <v>1071</v>
      </c>
      <c r="D365" t="s">
        <v>1060</v>
      </c>
      <c r="E365" t="str">
        <f>C365&amp;D365&amp;B365</f>
        <v>pUmem_Sta_FollowingErr(01)-&gt;i.user:$273C</v>
      </c>
    </row>
    <row r="366" spans="1:5" x14ac:dyDescent="0.3">
      <c r="A366" s="1">
        <v>10124</v>
      </c>
      <c r="B366" s="1" t="str">
        <f t="shared" ref="B366:B396" si="22">DEC2HEX(A366)</f>
        <v>278C</v>
      </c>
      <c r="C366" t="s">
        <v>1168</v>
      </c>
      <c r="D366" t="s">
        <v>1060</v>
      </c>
      <c r="E366" t="str">
        <f t="shared" ref="E366:E396" si="23">C366&amp;D366&amp;B366</f>
        <v>pUmem_Sta_FollowingErr(02)-&gt;i.user:$278C</v>
      </c>
    </row>
    <row r="367" spans="1:5" x14ac:dyDescent="0.3">
      <c r="A367" s="1">
        <v>10204</v>
      </c>
      <c r="B367" s="1" t="str">
        <f t="shared" si="22"/>
        <v>27DC</v>
      </c>
      <c r="C367" t="s">
        <v>1169</v>
      </c>
      <c r="D367" t="s">
        <v>1060</v>
      </c>
      <c r="E367" t="str">
        <f t="shared" si="23"/>
        <v>pUmem_Sta_FollowingErr(03)-&gt;i.user:$27DC</v>
      </c>
    </row>
    <row r="368" spans="1:5" x14ac:dyDescent="0.3">
      <c r="A368" s="1">
        <v>10284</v>
      </c>
      <c r="B368" s="1" t="str">
        <f t="shared" si="22"/>
        <v>282C</v>
      </c>
      <c r="C368" t="s">
        <v>1170</v>
      </c>
      <c r="D368" t="s">
        <v>1060</v>
      </c>
      <c r="E368" t="str">
        <f t="shared" si="23"/>
        <v>pUmem_Sta_FollowingErr(04)-&gt;i.user:$282C</v>
      </c>
    </row>
    <row r="369" spans="1:5" x14ac:dyDescent="0.3">
      <c r="A369" s="1">
        <v>10364</v>
      </c>
      <c r="B369" s="1" t="str">
        <f t="shared" si="22"/>
        <v>287C</v>
      </c>
      <c r="C369" t="s">
        <v>1171</v>
      </c>
      <c r="D369" t="s">
        <v>1060</v>
      </c>
      <c r="E369" t="str">
        <f t="shared" si="23"/>
        <v>pUmem_Sta_FollowingErr(05)-&gt;i.user:$287C</v>
      </c>
    </row>
    <row r="370" spans="1:5" x14ac:dyDescent="0.3">
      <c r="A370" s="1">
        <v>10444</v>
      </c>
      <c r="B370" s="1" t="str">
        <f t="shared" si="22"/>
        <v>28CC</v>
      </c>
      <c r="C370" t="s">
        <v>1172</v>
      </c>
      <c r="D370" t="s">
        <v>1060</v>
      </c>
      <c r="E370" t="str">
        <f t="shared" si="23"/>
        <v>pUmem_Sta_FollowingErr(06)-&gt;i.user:$28CC</v>
      </c>
    </row>
    <row r="371" spans="1:5" x14ac:dyDescent="0.3">
      <c r="A371" s="1">
        <v>10524</v>
      </c>
      <c r="B371" s="1" t="str">
        <f t="shared" si="22"/>
        <v>291C</v>
      </c>
      <c r="C371" t="s">
        <v>1173</v>
      </c>
      <c r="D371" t="s">
        <v>1060</v>
      </c>
      <c r="E371" t="str">
        <f t="shared" si="23"/>
        <v>pUmem_Sta_FollowingErr(07)-&gt;i.user:$291C</v>
      </c>
    </row>
    <row r="372" spans="1:5" x14ac:dyDescent="0.3">
      <c r="A372" s="1">
        <v>10604</v>
      </c>
      <c r="B372" s="1" t="str">
        <f t="shared" si="22"/>
        <v>296C</v>
      </c>
      <c r="C372" t="s">
        <v>1174</v>
      </c>
      <c r="D372" t="s">
        <v>1060</v>
      </c>
      <c r="E372" t="str">
        <f t="shared" si="23"/>
        <v>pUmem_Sta_FollowingErr(08)-&gt;i.user:$296C</v>
      </c>
    </row>
    <row r="373" spans="1:5" x14ac:dyDescent="0.3">
      <c r="A373" s="1">
        <v>10684</v>
      </c>
      <c r="B373" s="1" t="str">
        <f t="shared" si="22"/>
        <v>29BC</v>
      </c>
      <c r="C373" t="s">
        <v>1175</v>
      </c>
      <c r="D373" t="s">
        <v>1060</v>
      </c>
      <c r="E373" t="str">
        <f t="shared" si="23"/>
        <v>pUmem_Sta_FollowingErr(09)-&gt;i.user:$29BC</v>
      </c>
    </row>
    <row r="374" spans="1:5" x14ac:dyDescent="0.3">
      <c r="A374" s="1">
        <v>10764</v>
      </c>
      <c r="B374" s="1" t="str">
        <f t="shared" si="22"/>
        <v>2A0C</v>
      </c>
      <c r="C374" t="s">
        <v>1176</v>
      </c>
      <c r="D374" t="s">
        <v>1060</v>
      </c>
      <c r="E374" t="str">
        <f t="shared" si="23"/>
        <v>pUmem_Sta_FollowingErr(10)-&gt;i.user:$2A0C</v>
      </c>
    </row>
    <row r="375" spans="1:5" x14ac:dyDescent="0.3">
      <c r="A375" s="1">
        <v>10844</v>
      </c>
      <c r="B375" s="1" t="str">
        <f t="shared" si="22"/>
        <v>2A5C</v>
      </c>
      <c r="C375" t="s">
        <v>1177</v>
      </c>
      <c r="D375" t="s">
        <v>1060</v>
      </c>
      <c r="E375" t="str">
        <f t="shared" si="23"/>
        <v>pUmem_Sta_FollowingErr(11)-&gt;i.user:$2A5C</v>
      </c>
    </row>
    <row r="376" spans="1:5" x14ac:dyDescent="0.3">
      <c r="A376" s="1">
        <v>10924</v>
      </c>
      <c r="B376" s="1" t="str">
        <f t="shared" si="22"/>
        <v>2AAC</v>
      </c>
      <c r="C376" t="s">
        <v>1178</v>
      </c>
      <c r="D376" t="s">
        <v>1060</v>
      </c>
      <c r="E376" t="str">
        <f t="shared" si="23"/>
        <v>pUmem_Sta_FollowingErr(12)-&gt;i.user:$2AAC</v>
      </c>
    </row>
    <row r="377" spans="1:5" x14ac:dyDescent="0.3">
      <c r="A377" s="1">
        <v>11004</v>
      </c>
      <c r="B377" s="1" t="str">
        <f t="shared" si="22"/>
        <v>2AFC</v>
      </c>
      <c r="C377" t="s">
        <v>1179</v>
      </c>
      <c r="D377" t="s">
        <v>1060</v>
      </c>
      <c r="E377" t="str">
        <f t="shared" si="23"/>
        <v>pUmem_Sta_FollowingErr(13)-&gt;i.user:$2AFC</v>
      </c>
    </row>
    <row r="378" spans="1:5" x14ac:dyDescent="0.3">
      <c r="A378" s="1">
        <v>11084</v>
      </c>
      <c r="B378" s="1" t="str">
        <f t="shared" si="22"/>
        <v>2B4C</v>
      </c>
      <c r="C378" t="s">
        <v>1180</v>
      </c>
      <c r="D378" t="s">
        <v>1060</v>
      </c>
      <c r="E378" t="str">
        <f t="shared" si="23"/>
        <v>pUmem_Sta_FollowingErr(14)-&gt;i.user:$2B4C</v>
      </c>
    </row>
    <row r="379" spans="1:5" x14ac:dyDescent="0.3">
      <c r="A379" s="1">
        <v>11164</v>
      </c>
      <c r="B379" s="1" t="str">
        <f t="shared" si="22"/>
        <v>2B9C</v>
      </c>
      <c r="C379" t="s">
        <v>1181</v>
      </c>
      <c r="D379" t="s">
        <v>1060</v>
      </c>
      <c r="E379" t="str">
        <f t="shared" si="23"/>
        <v>pUmem_Sta_FollowingErr(15)-&gt;i.user:$2B9C</v>
      </c>
    </row>
    <row r="380" spans="1:5" x14ac:dyDescent="0.3">
      <c r="A380" s="1">
        <v>11244</v>
      </c>
      <c r="B380" s="1" t="str">
        <f t="shared" si="22"/>
        <v>2BEC</v>
      </c>
      <c r="C380" t="s">
        <v>1182</v>
      </c>
      <c r="D380" t="s">
        <v>1060</v>
      </c>
      <c r="E380" t="str">
        <f t="shared" si="23"/>
        <v>pUmem_Sta_FollowingErr(16)-&gt;i.user:$2BEC</v>
      </c>
    </row>
    <row r="381" spans="1:5" x14ac:dyDescent="0.3">
      <c r="A381" s="1">
        <v>11324</v>
      </c>
      <c r="B381" s="1" t="str">
        <f t="shared" si="22"/>
        <v>2C3C</v>
      </c>
      <c r="C381" t="s">
        <v>1183</v>
      </c>
      <c r="D381" t="s">
        <v>1060</v>
      </c>
      <c r="E381" t="str">
        <f t="shared" si="23"/>
        <v>pUmem_Sta_FollowingErr(17)-&gt;i.user:$2C3C</v>
      </c>
    </row>
    <row r="382" spans="1:5" x14ac:dyDescent="0.3">
      <c r="A382" s="1">
        <v>11404</v>
      </c>
      <c r="B382" s="1" t="str">
        <f t="shared" si="22"/>
        <v>2C8C</v>
      </c>
      <c r="C382" t="s">
        <v>1184</v>
      </c>
      <c r="D382" t="s">
        <v>1060</v>
      </c>
      <c r="E382" t="str">
        <f t="shared" si="23"/>
        <v>pUmem_Sta_FollowingErr(18)-&gt;i.user:$2C8C</v>
      </c>
    </row>
    <row r="383" spans="1:5" x14ac:dyDescent="0.3">
      <c r="A383" s="1">
        <v>11484</v>
      </c>
      <c r="B383" s="1" t="str">
        <f t="shared" si="22"/>
        <v>2CDC</v>
      </c>
      <c r="C383" t="s">
        <v>1185</v>
      </c>
      <c r="D383" t="s">
        <v>1060</v>
      </c>
      <c r="E383" t="str">
        <f t="shared" si="23"/>
        <v>pUmem_Sta_FollowingErr(19)-&gt;i.user:$2CDC</v>
      </c>
    </row>
    <row r="384" spans="1:5" x14ac:dyDescent="0.3">
      <c r="A384" s="1">
        <v>11564</v>
      </c>
      <c r="B384" s="1" t="str">
        <f t="shared" si="22"/>
        <v>2D2C</v>
      </c>
      <c r="C384" t="s">
        <v>1186</v>
      </c>
      <c r="D384" t="s">
        <v>1060</v>
      </c>
      <c r="E384" t="str">
        <f t="shared" si="23"/>
        <v>pUmem_Sta_FollowingErr(20)-&gt;i.user:$2D2C</v>
      </c>
    </row>
    <row r="385" spans="1:5" x14ac:dyDescent="0.3">
      <c r="A385" s="1">
        <v>11644</v>
      </c>
      <c r="B385" s="1" t="str">
        <f t="shared" si="22"/>
        <v>2D7C</v>
      </c>
      <c r="C385" t="s">
        <v>1187</v>
      </c>
      <c r="D385" t="s">
        <v>1060</v>
      </c>
      <c r="E385" t="str">
        <f t="shared" si="23"/>
        <v>pUmem_Sta_FollowingErr(21)-&gt;i.user:$2D7C</v>
      </c>
    </row>
    <row r="386" spans="1:5" x14ac:dyDescent="0.3">
      <c r="A386" s="1">
        <v>11724</v>
      </c>
      <c r="B386" s="1" t="str">
        <f t="shared" si="22"/>
        <v>2DCC</v>
      </c>
      <c r="C386" t="s">
        <v>1188</v>
      </c>
      <c r="D386" t="s">
        <v>1060</v>
      </c>
      <c r="E386" t="str">
        <f t="shared" si="23"/>
        <v>pUmem_Sta_FollowingErr(22)-&gt;i.user:$2DCC</v>
      </c>
    </row>
    <row r="387" spans="1:5" x14ac:dyDescent="0.3">
      <c r="A387" s="1">
        <v>11804</v>
      </c>
      <c r="B387" s="1" t="str">
        <f t="shared" si="22"/>
        <v>2E1C</v>
      </c>
      <c r="C387" t="s">
        <v>1189</v>
      </c>
      <c r="D387" t="s">
        <v>1060</v>
      </c>
      <c r="E387" t="str">
        <f t="shared" si="23"/>
        <v>pUmem_Sta_FollowingErr(23)-&gt;i.user:$2E1C</v>
      </c>
    </row>
    <row r="388" spans="1:5" x14ac:dyDescent="0.3">
      <c r="A388" s="1">
        <v>11884</v>
      </c>
      <c r="B388" s="1" t="str">
        <f t="shared" si="22"/>
        <v>2E6C</v>
      </c>
      <c r="C388" t="s">
        <v>1190</v>
      </c>
      <c r="D388" t="s">
        <v>1060</v>
      </c>
      <c r="E388" t="str">
        <f t="shared" si="23"/>
        <v>pUmem_Sta_FollowingErr(24)-&gt;i.user:$2E6C</v>
      </c>
    </row>
    <row r="389" spans="1:5" x14ac:dyDescent="0.3">
      <c r="A389" s="1">
        <v>11964</v>
      </c>
      <c r="B389" s="1" t="str">
        <f t="shared" si="22"/>
        <v>2EBC</v>
      </c>
      <c r="C389" t="s">
        <v>1191</v>
      </c>
      <c r="D389" t="s">
        <v>1060</v>
      </c>
      <c r="E389" t="str">
        <f t="shared" si="23"/>
        <v>pUmem_Sta_FollowingErr(25)-&gt;i.user:$2EBC</v>
      </c>
    </row>
    <row r="390" spans="1:5" x14ac:dyDescent="0.3">
      <c r="A390" s="1">
        <v>12044</v>
      </c>
      <c r="B390" s="1" t="str">
        <f t="shared" si="22"/>
        <v>2F0C</v>
      </c>
      <c r="C390" t="s">
        <v>1192</v>
      </c>
      <c r="D390" t="s">
        <v>1060</v>
      </c>
      <c r="E390" t="str">
        <f t="shared" si="23"/>
        <v>pUmem_Sta_FollowingErr(26)-&gt;i.user:$2F0C</v>
      </c>
    </row>
    <row r="391" spans="1:5" x14ac:dyDescent="0.3">
      <c r="A391" s="1">
        <v>12124</v>
      </c>
      <c r="B391" s="1" t="str">
        <f t="shared" si="22"/>
        <v>2F5C</v>
      </c>
      <c r="C391" t="s">
        <v>1193</v>
      </c>
      <c r="D391" t="s">
        <v>1060</v>
      </c>
      <c r="E391" t="str">
        <f t="shared" si="23"/>
        <v>pUmem_Sta_FollowingErr(27)-&gt;i.user:$2F5C</v>
      </c>
    </row>
    <row r="392" spans="1:5" x14ac:dyDescent="0.3">
      <c r="A392" s="1">
        <v>12204</v>
      </c>
      <c r="B392" s="1" t="str">
        <f t="shared" si="22"/>
        <v>2FAC</v>
      </c>
      <c r="C392" t="s">
        <v>1194</v>
      </c>
      <c r="D392" t="s">
        <v>1060</v>
      </c>
      <c r="E392" t="str">
        <f t="shared" si="23"/>
        <v>pUmem_Sta_FollowingErr(28)-&gt;i.user:$2FAC</v>
      </c>
    </row>
    <row r="393" spans="1:5" x14ac:dyDescent="0.3">
      <c r="A393" s="1">
        <v>12284</v>
      </c>
      <c r="B393" s="1" t="str">
        <f t="shared" si="22"/>
        <v>2FFC</v>
      </c>
      <c r="C393" t="s">
        <v>1195</v>
      </c>
      <c r="D393" t="s">
        <v>1060</v>
      </c>
      <c r="E393" t="str">
        <f t="shared" si="23"/>
        <v>pUmem_Sta_FollowingErr(29)-&gt;i.user:$2FFC</v>
      </c>
    </row>
    <row r="394" spans="1:5" x14ac:dyDescent="0.3">
      <c r="A394" s="1">
        <v>12364</v>
      </c>
      <c r="B394" s="1" t="str">
        <f t="shared" si="22"/>
        <v>304C</v>
      </c>
      <c r="C394" t="s">
        <v>1196</v>
      </c>
      <c r="D394" t="s">
        <v>1060</v>
      </c>
      <c r="E394" t="str">
        <f t="shared" si="23"/>
        <v>pUmem_Sta_FollowingErr(30)-&gt;i.user:$304C</v>
      </c>
    </row>
    <row r="395" spans="1:5" x14ac:dyDescent="0.3">
      <c r="A395" s="1">
        <v>12444</v>
      </c>
      <c r="B395" s="1" t="str">
        <f t="shared" si="22"/>
        <v>309C</v>
      </c>
      <c r="C395" t="s">
        <v>1197</v>
      </c>
      <c r="D395" t="s">
        <v>1060</v>
      </c>
      <c r="E395" t="str">
        <f t="shared" si="23"/>
        <v>pUmem_Sta_FollowingErr(31)-&gt;i.user:$309C</v>
      </c>
    </row>
    <row r="396" spans="1:5" x14ac:dyDescent="0.3">
      <c r="A396" s="1">
        <v>12524</v>
      </c>
      <c r="B396" s="1" t="str">
        <f t="shared" si="22"/>
        <v>30EC</v>
      </c>
      <c r="C396" t="s">
        <v>1198</v>
      </c>
      <c r="D396" t="s">
        <v>1060</v>
      </c>
      <c r="E396" t="str">
        <f t="shared" si="23"/>
        <v>pUmem_Sta_FollowingErr(32)-&gt;i.user:$30EC</v>
      </c>
    </row>
    <row r="398" spans="1:5" x14ac:dyDescent="0.3">
      <c r="A398" s="1">
        <v>10048</v>
      </c>
      <c r="B398" s="1" t="str">
        <f>DEC2HEX(A398)</f>
        <v>2740</v>
      </c>
      <c r="C398" t="s">
        <v>1072</v>
      </c>
      <c r="D398" t="s">
        <v>1060</v>
      </c>
      <c r="E398" t="str">
        <f>C398&amp;D398&amp;B398</f>
        <v>pUmem_Sta_AmpFault(01)-&gt;i.user:$2740</v>
      </c>
    </row>
    <row r="399" spans="1:5" x14ac:dyDescent="0.3">
      <c r="A399" s="1">
        <v>10128</v>
      </c>
      <c r="B399" s="1" t="str">
        <f t="shared" ref="B399:B429" si="24">DEC2HEX(A399)</f>
        <v>2790</v>
      </c>
      <c r="C399" t="s">
        <v>1137</v>
      </c>
      <c r="D399" t="s">
        <v>1060</v>
      </c>
      <c r="E399" t="str">
        <f t="shared" ref="E399:E429" si="25">C399&amp;D399&amp;B399</f>
        <v>pUmem_Sta_AmpFault(02)-&gt;i.user:$2790</v>
      </c>
    </row>
    <row r="400" spans="1:5" x14ac:dyDescent="0.3">
      <c r="A400" s="1">
        <v>10208</v>
      </c>
      <c r="B400" s="1" t="str">
        <f t="shared" si="24"/>
        <v>27E0</v>
      </c>
      <c r="C400" t="s">
        <v>1138</v>
      </c>
      <c r="D400" t="s">
        <v>1060</v>
      </c>
      <c r="E400" t="str">
        <f t="shared" si="25"/>
        <v>pUmem_Sta_AmpFault(03)-&gt;i.user:$27E0</v>
      </c>
    </row>
    <row r="401" spans="1:5" x14ac:dyDescent="0.3">
      <c r="A401" s="1">
        <v>10288</v>
      </c>
      <c r="B401" s="1" t="str">
        <f t="shared" si="24"/>
        <v>2830</v>
      </c>
      <c r="C401" t="s">
        <v>1139</v>
      </c>
      <c r="D401" t="s">
        <v>1060</v>
      </c>
      <c r="E401" t="str">
        <f t="shared" si="25"/>
        <v>pUmem_Sta_AmpFault(04)-&gt;i.user:$2830</v>
      </c>
    </row>
    <row r="402" spans="1:5" x14ac:dyDescent="0.3">
      <c r="A402" s="1">
        <v>10368</v>
      </c>
      <c r="B402" s="1" t="str">
        <f t="shared" si="24"/>
        <v>2880</v>
      </c>
      <c r="C402" t="s">
        <v>1140</v>
      </c>
      <c r="D402" t="s">
        <v>1060</v>
      </c>
      <c r="E402" t="str">
        <f t="shared" si="25"/>
        <v>pUmem_Sta_AmpFault(05)-&gt;i.user:$2880</v>
      </c>
    </row>
    <row r="403" spans="1:5" x14ac:dyDescent="0.3">
      <c r="A403" s="1">
        <v>10448</v>
      </c>
      <c r="B403" s="1" t="str">
        <f t="shared" si="24"/>
        <v>28D0</v>
      </c>
      <c r="C403" t="s">
        <v>1141</v>
      </c>
      <c r="D403" t="s">
        <v>1060</v>
      </c>
      <c r="E403" t="str">
        <f t="shared" si="25"/>
        <v>pUmem_Sta_AmpFault(06)-&gt;i.user:$28D0</v>
      </c>
    </row>
    <row r="404" spans="1:5" x14ac:dyDescent="0.3">
      <c r="A404" s="1">
        <v>10528</v>
      </c>
      <c r="B404" s="1" t="str">
        <f t="shared" si="24"/>
        <v>2920</v>
      </c>
      <c r="C404" t="s">
        <v>1142</v>
      </c>
      <c r="D404" t="s">
        <v>1060</v>
      </c>
      <c r="E404" t="str">
        <f t="shared" si="25"/>
        <v>pUmem_Sta_AmpFault(07)-&gt;i.user:$2920</v>
      </c>
    </row>
    <row r="405" spans="1:5" x14ac:dyDescent="0.3">
      <c r="A405" s="1">
        <v>10608</v>
      </c>
      <c r="B405" s="1" t="str">
        <f t="shared" si="24"/>
        <v>2970</v>
      </c>
      <c r="C405" t="s">
        <v>1143</v>
      </c>
      <c r="D405" t="s">
        <v>1060</v>
      </c>
      <c r="E405" t="str">
        <f t="shared" si="25"/>
        <v>pUmem_Sta_AmpFault(08)-&gt;i.user:$2970</v>
      </c>
    </row>
    <row r="406" spans="1:5" x14ac:dyDescent="0.3">
      <c r="A406" s="1">
        <v>10688</v>
      </c>
      <c r="B406" s="1" t="str">
        <f t="shared" si="24"/>
        <v>29C0</v>
      </c>
      <c r="C406" t="s">
        <v>1144</v>
      </c>
      <c r="D406" t="s">
        <v>1060</v>
      </c>
      <c r="E406" t="str">
        <f t="shared" si="25"/>
        <v>pUmem_Sta_AmpFault(09)-&gt;i.user:$29C0</v>
      </c>
    </row>
    <row r="407" spans="1:5" x14ac:dyDescent="0.3">
      <c r="A407" s="1">
        <v>10768</v>
      </c>
      <c r="B407" s="1" t="str">
        <f t="shared" si="24"/>
        <v>2A10</v>
      </c>
      <c r="C407" t="s">
        <v>1145</v>
      </c>
      <c r="D407" t="s">
        <v>1060</v>
      </c>
      <c r="E407" t="str">
        <f t="shared" si="25"/>
        <v>pUmem_Sta_AmpFault(10)-&gt;i.user:$2A10</v>
      </c>
    </row>
    <row r="408" spans="1:5" x14ac:dyDescent="0.3">
      <c r="A408" s="1">
        <v>10848</v>
      </c>
      <c r="B408" s="1" t="str">
        <f t="shared" si="24"/>
        <v>2A60</v>
      </c>
      <c r="C408" t="s">
        <v>1146</v>
      </c>
      <c r="D408" t="s">
        <v>1060</v>
      </c>
      <c r="E408" t="str">
        <f t="shared" si="25"/>
        <v>pUmem_Sta_AmpFault(11)-&gt;i.user:$2A60</v>
      </c>
    </row>
    <row r="409" spans="1:5" x14ac:dyDescent="0.3">
      <c r="A409" s="1">
        <v>10928</v>
      </c>
      <c r="B409" s="1" t="str">
        <f t="shared" si="24"/>
        <v>2AB0</v>
      </c>
      <c r="C409" t="s">
        <v>1147</v>
      </c>
      <c r="D409" t="s">
        <v>1060</v>
      </c>
      <c r="E409" t="str">
        <f t="shared" si="25"/>
        <v>pUmem_Sta_AmpFault(12)-&gt;i.user:$2AB0</v>
      </c>
    </row>
    <row r="410" spans="1:5" x14ac:dyDescent="0.3">
      <c r="A410" s="1">
        <v>11008</v>
      </c>
      <c r="B410" s="1" t="str">
        <f t="shared" si="24"/>
        <v>2B00</v>
      </c>
      <c r="C410" t="s">
        <v>1148</v>
      </c>
      <c r="D410" t="s">
        <v>1060</v>
      </c>
      <c r="E410" t="str">
        <f t="shared" si="25"/>
        <v>pUmem_Sta_AmpFault(13)-&gt;i.user:$2B00</v>
      </c>
    </row>
    <row r="411" spans="1:5" x14ac:dyDescent="0.3">
      <c r="A411" s="1">
        <v>11088</v>
      </c>
      <c r="B411" s="1" t="str">
        <f t="shared" si="24"/>
        <v>2B50</v>
      </c>
      <c r="C411" t="s">
        <v>1149</v>
      </c>
      <c r="D411" t="s">
        <v>1060</v>
      </c>
      <c r="E411" t="str">
        <f t="shared" si="25"/>
        <v>pUmem_Sta_AmpFault(14)-&gt;i.user:$2B50</v>
      </c>
    </row>
    <row r="412" spans="1:5" x14ac:dyDescent="0.3">
      <c r="A412" s="1">
        <v>11168</v>
      </c>
      <c r="B412" s="1" t="str">
        <f t="shared" si="24"/>
        <v>2BA0</v>
      </c>
      <c r="C412" t="s">
        <v>1150</v>
      </c>
      <c r="D412" t="s">
        <v>1060</v>
      </c>
      <c r="E412" t="str">
        <f t="shared" si="25"/>
        <v>pUmem_Sta_AmpFault(15)-&gt;i.user:$2BA0</v>
      </c>
    </row>
    <row r="413" spans="1:5" x14ac:dyDescent="0.3">
      <c r="A413" s="1">
        <v>11248</v>
      </c>
      <c r="B413" s="1" t="str">
        <f t="shared" si="24"/>
        <v>2BF0</v>
      </c>
      <c r="C413" t="s">
        <v>1151</v>
      </c>
      <c r="D413" t="s">
        <v>1060</v>
      </c>
      <c r="E413" t="str">
        <f t="shared" si="25"/>
        <v>pUmem_Sta_AmpFault(16)-&gt;i.user:$2BF0</v>
      </c>
    </row>
    <row r="414" spans="1:5" x14ac:dyDescent="0.3">
      <c r="A414" s="1">
        <v>11328</v>
      </c>
      <c r="B414" s="1" t="str">
        <f t="shared" si="24"/>
        <v>2C40</v>
      </c>
      <c r="C414" t="s">
        <v>1152</v>
      </c>
      <c r="D414" t="s">
        <v>1060</v>
      </c>
      <c r="E414" t="str">
        <f t="shared" si="25"/>
        <v>pUmem_Sta_AmpFault(17)-&gt;i.user:$2C40</v>
      </c>
    </row>
    <row r="415" spans="1:5" x14ac:dyDescent="0.3">
      <c r="A415" s="1">
        <v>11408</v>
      </c>
      <c r="B415" s="1" t="str">
        <f t="shared" si="24"/>
        <v>2C90</v>
      </c>
      <c r="C415" t="s">
        <v>1153</v>
      </c>
      <c r="D415" t="s">
        <v>1060</v>
      </c>
      <c r="E415" t="str">
        <f t="shared" si="25"/>
        <v>pUmem_Sta_AmpFault(18)-&gt;i.user:$2C90</v>
      </c>
    </row>
    <row r="416" spans="1:5" x14ac:dyDescent="0.3">
      <c r="A416" s="1">
        <v>11488</v>
      </c>
      <c r="B416" s="1" t="str">
        <f t="shared" si="24"/>
        <v>2CE0</v>
      </c>
      <c r="C416" t="s">
        <v>1154</v>
      </c>
      <c r="D416" t="s">
        <v>1060</v>
      </c>
      <c r="E416" t="str">
        <f t="shared" si="25"/>
        <v>pUmem_Sta_AmpFault(19)-&gt;i.user:$2CE0</v>
      </c>
    </row>
    <row r="417" spans="1:5" x14ac:dyDescent="0.3">
      <c r="A417" s="1">
        <v>11568</v>
      </c>
      <c r="B417" s="1" t="str">
        <f t="shared" si="24"/>
        <v>2D30</v>
      </c>
      <c r="C417" t="s">
        <v>1155</v>
      </c>
      <c r="D417" t="s">
        <v>1060</v>
      </c>
      <c r="E417" t="str">
        <f t="shared" si="25"/>
        <v>pUmem_Sta_AmpFault(20)-&gt;i.user:$2D30</v>
      </c>
    </row>
    <row r="418" spans="1:5" x14ac:dyDescent="0.3">
      <c r="A418" s="1">
        <v>11648</v>
      </c>
      <c r="B418" s="1" t="str">
        <f t="shared" si="24"/>
        <v>2D80</v>
      </c>
      <c r="C418" t="s">
        <v>1156</v>
      </c>
      <c r="D418" t="s">
        <v>1060</v>
      </c>
      <c r="E418" t="str">
        <f t="shared" si="25"/>
        <v>pUmem_Sta_AmpFault(21)-&gt;i.user:$2D80</v>
      </c>
    </row>
    <row r="419" spans="1:5" x14ac:dyDescent="0.3">
      <c r="A419" s="1">
        <v>11728</v>
      </c>
      <c r="B419" s="1" t="str">
        <f t="shared" si="24"/>
        <v>2DD0</v>
      </c>
      <c r="C419" t="s">
        <v>1157</v>
      </c>
      <c r="D419" t="s">
        <v>1060</v>
      </c>
      <c r="E419" t="str">
        <f t="shared" si="25"/>
        <v>pUmem_Sta_AmpFault(22)-&gt;i.user:$2DD0</v>
      </c>
    </row>
    <row r="420" spans="1:5" x14ac:dyDescent="0.3">
      <c r="A420" s="1">
        <v>11808</v>
      </c>
      <c r="B420" s="1" t="str">
        <f t="shared" si="24"/>
        <v>2E20</v>
      </c>
      <c r="C420" t="s">
        <v>1158</v>
      </c>
      <c r="D420" t="s">
        <v>1060</v>
      </c>
      <c r="E420" t="str">
        <f t="shared" si="25"/>
        <v>pUmem_Sta_AmpFault(23)-&gt;i.user:$2E20</v>
      </c>
    </row>
    <row r="421" spans="1:5" x14ac:dyDescent="0.3">
      <c r="A421" s="1">
        <v>11888</v>
      </c>
      <c r="B421" s="1" t="str">
        <f t="shared" si="24"/>
        <v>2E70</v>
      </c>
      <c r="C421" t="s">
        <v>1159</v>
      </c>
      <c r="D421" t="s">
        <v>1060</v>
      </c>
      <c r="E421" t="str">
        <f t="shared" si="25"/>
        <v>pUmem_Sta_AmpFault(24)-&gt;i.user:$2E70</v>
      </c>
    </row>
    <row r="422" spans="1:5" x14ac:dyDescent="0.3">
      <c r="A422" s="1">
        <v>11968</v>
      </c>
      <c r="B422" s="1" t="str">
        <f t="shared" si="24"/>
        <v>2EC0</v>
      </c>
      <c r="C422" t="s">
        <v>1160</v>
      </c>
      <c r="D422" t="s">
        <v>1060</v>
      </c>
      <c r="E422" t="str">
        <f t="shared" si="25"/>
        <v>pUmem_Sta_AmpFault(25)-&gt;i.user:$2EC0</v>
      </c>
    </row>
    <row r="423" spans="1:5" x14ac:dyDescent="0.3">
      <c r="A423" s="1">
        <v>12048</v>
      </c>
      <c r="B423" s="1" t="str">
        <f t="shared" si="24"/>
        <v>2F10</v>
      </c>
      <c r="C423" t="s">
        <v>1161</v>
      </c>
      <c r="D423" t="s">
        <v>1060</v>
      </c>
      <c r="E423" t="str">
        <f t="shared" si="25"/>
        <v>pUmem_Sta_AmpFault(26)-&gt;i.user:$2F10</v>
      </c>
    </row>
    <row r="424" spans="1:5" x14ac:dyDescent="0.3">
      <c r="A424" s="1">
        <v>12128</v>
      </c>
      <c r="B424" s="1" t="str">
        <f t="shared" si="24"/>
        <v>2F60</v>
      </c>
      <c r="C424" t="s">
        <v>1162</v>
      </c>
      <c r="D424" t="s">
        <v>1060</v>
      </c>
      <c r="E424" t="str">
        <f t="shared" si="25"/>
        <v>pUmem_Sta_AmpFault(27)-&gt;i.user:$2F60</v>
      </c>
    </row>
    <row r="425" spans="1:5" x14ac:dyDescent="0.3">
      <c r="A425" s="1">
        <v>12208</v>
      </c>
      <c r="B425" s="1" t="str">
        <f t="shared" si="24"/>
        <v>2FB0</v>
      </c>
      <c r="C425" t="s">
        <v>1163</v>
      </c>
      <c r="D425" t="s">
        <v>1060</v>
      </c>
      <c r="E425" t="str">
        <f t="shared" si="25"/>
        <v>pUmem_Sta_AmpFault(28)-&gt;i.user:$2FB0</v>
      </c>
    </row>
    <row r="426" spans="1:5" x14ac:dyDescent="0.3">
      <c r="A426" s="1">
        <v>12288</v>
      </c>
      <c r="B426" s="1" t="str">
        <f t="shared" si="24"/>
        <v>3000</v>
      </c>
      <c r="C426" t="s">
        <v>1164</v>
      </c>
      <c r="D426" t="s">
        <v>1060</v>
      </c>
      <c r="E426" t="str">
        <f t="shared" si="25"/>
        <v>pUmem_Sta_AmpFault(29)-&gt;i.user:$3000</v>
      </c>
    </row>
    <row r="427" spans="1:5" x14ac:dyDescent="0.3">
      <c r="A427" s="1">
        <v>12368</v>
      </c>
      <c r="B427" s="1" t="str">
        <f t="shared" si="24"/>
        <v>3050</v>
      </c>
      <c r="C427" t="s">
        <v>1165</v>
      </c>
      <c r="D427" t="s">
        <v>1060</v>
      </c>
      <c r="E427" t="str">
        <f t="shared" si="25"/>
        <v>pUmem_Sta_AmpFault(30)-&gt;i.user:$3050</v>
      </c>
    </row>
    <row r="428" spans="1:5" x14ac:dyDescent="0.3">
      <c r="A428" s="1">
        <v>12448</v>
      </c>
      <c r="B428" s="1" t="str">
        <f t="shared" si="24"/>
        <v>30A0</v>
      </c>
      <c r="C428" t="s">
        <v>1166</v>
      </c>
      <c r="D428" t="s">
        <v>1060</v>
      </c>
      <c r="E428" t="str">
        <f t="shared" si="25"/>
        <v>pUmem_Sta_AmpFault(31)-&gt;i.user:$30A0</v>
      </c>
    </row>
    <row r="429" spans="1:5" x14ac:dyDescent="0.3">
      <c r="A429" s="1">
        <v>12528</v>
      </c>
      <c r="B429" s="1" t="str">
        <f t="shared" si="24"/>
        <v>30F0</v>
      </c>
      <c r="C429" t="s">
        <v>1167</v>
      </c>
      <c r="D429" t="s">
        <v>1060</v>
      </c>
      <c r="E429" t="str">
        <f t="shared" si="25"/>
        <v>pUmem_Sta_AmpFault(32)-&gt;i.user:$30F0</v>
      </c>
    </row>
    <row r="431" spans="1:5" x14ac:dyDescent="0.3">
      <c r="A431" s="1">
        <v>10052</v>
      </c>
      <c r="B431" s="1" t="str">
        <f>DEC2HEX(A431)</f>
        <v>2744</v>
      </c>
      <c r="C431" t="s">
        <v>1073</v>
      </c>
      <c r="D431" t="s">
        <v>1060</v>
      </c>
      <c r="E431" t="str">
        <f>C431&amp;D431&amp;B431</f>
        <v>pUmem_Sta_EncLoss(01)-&gt;i.user:$2744</v>
      </c>
    </row>
    <row r="432" spans="1:5" x14ac:dyDescent="0.3">
      <c r="A432" s="1">
        <v>10132</v>
      </c>
      <c r="B432" s="1" t="str">
        <f t="shared" ref="B432:B462" si="26">DEC2HEX(A432)</f>
        <v>2794</v>
      </c>
      <c r="C432" t="s">
        <v>1106</v>
      </c>
      <c r="D432" t="s">
        <v>1060</v>
      </c>
      <c r="E432" t="str">
        <f t="shared" ref="E432:E462" si="27">C432&amp;D432&amp;B432</f>
        <v>pUmem_Sta_EncLoss(02)-&gt;i.user:$2794</v>
      </c>
    </row>
    <row r="433" spans="1:5" x14ac:dyDescent="0.3">
      <c r="A433" s="1">
        <v>10212</v>
      </c>
      <c r="B433" s="1" t="str">
        <f t="shared" si="26"/>
        <v>27E4</v>
      </c>
      <c r="C433" t="s">
        <v>1107</v>
      </c>
      <c r="D433" t="s">
        <v>1060</v>
      </c>
      <c r="E433" t="str">
        <f t="shared" si="27"/>
        <v>pUmem_Sta_EncLoss(03)-&gt;i.user:$27E4</v>
      </c>
    </row>
    <row r="434" spans="1:5" x14ac:dyDescent="0.3">
      <c r="A434" s="1">
        <v>10292</v>
      </c>
      <c r="B434" s="1" t="str">
        <f t="shared" si="26"/>
        <v>2834</v>
      </c>
      <c r="C434" t="s">
        <v>1108</v>
      </c>
      <c r="D434" t="s">
        <v>1060</v>
      </c>
      <c r="E434" t="str">
        <f t="shared" si="27"/>
        <v>pUmem_Sta_EncLoss(04)-&gt;i.user:$2834</v>
      </c>
    </row>
    <row r="435" spans="1:5" x14ac:dyDescent="0.3">
      <c r="A435" s="1">
        <v>10372</v>
      </c>
      <c r="B435" s="1" t="str">
        <f t="shared" si="26"/>
        <v>2884</v>
      </c>
      <c r="C435" t="s">
        <v>1109</v>
      </c>
      <c r="D435" t="s">
        <v>1060</v>
      </c>
      <c r="E435" t="str">
        <f t="shared" si="27"/>
        <v>pUmem_Sta_EncLoss(05)-&gt;i.user:$2884</v>
      </c>
    </row>
    <row r="436" spans="1:5" x14ac:dyDescent="0.3">
      <c r="A436" s="1">
        <v>10452</v>
      </c>
      <c r="B436" s="1" t="str">
        <f t="shared" si="26"/>
        <v>28D4</v>
      </c>
      <c r="C436" t="s">
        <v>1110</v>
      </c>
      <c r="D436" t="s">
        <v>1060</v>
      </c>
      <c r="E436" t="str">
        <f t="shared" si="27"/>
        <v>pUmem_Sta_EncLoss(06)-&gt;i.user:$28D4</v>
      </c>
    </row>
    <row r="437" spans="1:5" x14ac:dyDescent="0.3">
      <c r="A437" s="1">
        <v>10532</v>
      </c>
      <c r="B437" s="1" t="str">
        <f t="shared" si="26"/>
        <v>2924</v>
      </c>
      <c r="C437" t="s">
        <v>1111</v>
      </c>
      <c r="D437" t="s">
        <v>1060</v>
      </c>
      <c r="E437" t="str">
        <f t="shared" si="27"/>
        <v>pUmem_Sta_EncLoss(07)-&gt;i.user:$2924</v>
      </c>
    </row>
    <row r="438" spans="1:5" x14ac:dyDescent="0.3">
      <c r="A438" s="1">
        <v>10612</v>
      </c>
      <c r="B438" s="1" t="str">
        <f t="shared" si="26"/>
        <v>2974</v>
      </c>
      <c r="C438" t="s">
        <v>1112</v>
      </c>
      <c r="D438" t="s">
        <v>1060</v>
      </c>
      <c r="E438" t="str">
        <f t="shared" si="27"/>
        <v>pUmem_Sta_EncLoss(08)-&gt;i.user:$2974</v>
      </c>
    </row>
    <row r="439" spans="1:5" x14ac:dyDescent="0.3">
      <c r="A439" s="1">
        <v>10692</v>
      </c>
      <c r="B439" s="1" t="str">
        <f t="shared" si="26"/>
        <v>29C4</v>
      </c>
      <c r="C439" t="s">
        <v>1113</v>
      </c>
      <c r="D439" t="s">
        <v>1060</v>
      </c>
      <c r="E439" t="str">
        <f t="shared" si="27"/>
        <v>pUmem_Sta_EncLoss(09)-&gt;i.user:$29C4</v>
      </c>
    </row>
    <row r="440" spans="1:5" x14ac:dyDescent="0.3">
      <c r="A440" s="1">
        <v>10772</v>
      </c>
      <c r="B440" s="1" t="str">
        <f t="shared" si="26"/>
        <v>2A14</v>
      </c>
      <c r="C440" t="s">
        <v>1114</v>
      </c>
      <c r="D440" t="s">
        <v>1060</v>
      </c>
      <c r="E440" t="str">
        <f t="shared" si="27"/>
        <v>pUmem_Sta_EncLoss(10)-&gt;i.user:$2A14</v>
      </c>
    </row>
    <row r="441" spans="1:5" x14ac:dyDescent="0.3">
      <c r="A441" s="1">
        <v>10852</v>
      </c>
      <c r="B441" s="1" t="str">
        <f t="shared" si="26"/>
        <v>2A64</v>
      </c>
      <c r="C441" t="s">
        <v>1115</v>
      </c>
      <c r="D441" t="s">
        <v>1060</v>
      </c>
      <c r="E441" t="str">
        <f t="shared" si="27"/>
        <v>pUmem_Sta_EncLoss(11)-&gt;i.user:$2A64</v>
      </c>
    </row>
    <row r="442" spans="1:5" x14ac:dyDescent="0.3">
      <c r="A442" s="1">
        <v>10932</v>
      </c>
      <c r="B442" s="1" t="str">
        <f t="shared" si="26"/>
        <v>2AB4</v>
      </c>
      <c r="C442" t="s">
        <v>1116</v>
      </c>
      <c r="D442" t="s">
        <v>1060</v>
      </c>
      <c r="E442" t="str">
        <f t="shared" si="27"/>
        <v>pUmem_Sta_EncLoss(12)-&gt;i.user:$2AB4</v>
      </c>
    </row>
    <row r="443" spans="1:5" x14ac:dyDescent="0.3">
      <c r="A443" s="1">
        <v>11012</v>
      </c>
      <c r="B443" s="1" t="str">
        <f t="shared" si="26"/>
        <v>2B04</v>
      </c>
      <c r="C443" t="s">
        <v>1117</v>
      </c>
      <c r="D443" t="s">
        <v>1060</v>
      </c>
      <c r="E443" t="str">
        <f t="shared" si="27"/>
        <v>pUmem_Sta_EncLoss(13)-&gt;i.user:$2B04</v>
      </c>
    </row>
    <row r="444" spans="1:5" x14ac:dyDescent="0.3">
      <c r="A444" s="1">
        <v>11092</v>
      </c>
      <c r="B444" s="1" t="str">
        <f t="shared" si="26"/>
        <v>2B54</v>
      </c>
      <c r="C444" t="s">
        <v>1118</v>
      </c>
      <c r="D444" t="s">
        <v>1060</v>
      </c>
      <c r="E444" t="str">
        <f t="shared" si="27"/>
        <v>pUmem_Sta_EncLoss(14)-&gt;i.user:$2B54</v>
      </c>
    </row>
    <row r="445" spans="1:5" x14ac:dyDescent="0.3">
      <c r="A445" s="1">
        <v>11172</v>
      </c>
      <c r="B445" s="1" t="str">
        <f t="shared" si="26"/>
        <v>2BA4</v>
      </c>
      <c r="C445" t="s">
        <v>1119</v>
      </c>
      <c r="D445" t="s">
        <v>1060</v>
      </c>
      <c r="E445" t="str">
        <f t="shared" si="27"/>
        <v>pUmem_Sta_EncLoss(15)-&gt;i.user:$2BA4</v>
      </c>
    </row>
    <row r="446" spans="1:5" x14ac:dyDescent="0.3">
      <c r="A446" s="1">
        <v>11252</v>
      </c>
      <c r="B446" s="1" t="str">
        <f t="shared" si="26"/>
        <v>2BF4</v>
      </c>
      <c r="C446" t="s">
        <v>1120</v>
      </c>
      <c r="D446" t="s">
        <v>1060</v>
      </c>
      <c r="E446" t="str">
        <f t="shared" si="27"/>
        <v>pUmem_Sta_EncLoss(16)-&gt;i.user:$2BF4</v>
      </c>
    </row>
    <row r="447" spans="1:5" x14ac:dyDescent="0.3">
      <c r="A447" s="1">
        <v>11332</v>
      </c>
      <c r="B447" s="1" t="str">
        <f t="shared" si="26"/>
        <v>2C44</v>
      </c>
      <c r="C447" t="s">
        <v>1121</v>
      </c>
      <c r="D447" t="s">
        <v>1060</v>
      </c>
      <c r="E447" t="str">
        <f t="shared" si="27"/>
        <v>pUmem_Sta_EncLoss(17)-&gt;i.user:$2C44</v>
      </c>
    </row>
    <row r="448" spans="1:5" x14ac:dyDescent="0.3">
      <c r="A448" s="1">
        <v>11412</v>
      </c>
      <c r="B448" s="1" t="str">
        <f t="shared" si="26"/>
        <v>2C94</v>
      </c>
      <c r="C448" t="s">
        <v>1122</v>
      </c>
      <c r="D448" t="s">
        <v>1060</v>
      </c>
      <c r="E448" t="str">
        <f t="shared" si="27"/>
        <v>pUmem_Sta_EncLoss(18)-&gt;i.user:$2C94</v>
      </c>
    </row>
    <row r="449" spans="1:5" x14ac:dyDescent="0.3">
      <c r="A449" s="1">
        <v>11492</v>
      </c>
      <c r="B449" s="1" t="str">
        <f t="shared" si="26"/>
        <v>2CE4</v>
      </c>
      <c r="C449" t="s">
        <v>1123</v>
      </c>
      <c r="D449" t="s">
        <v>1060</v>
      </c>
      <c r="E449" t="str">
        <f t="shared" si="27"/>
        <v>pUmem_Sta_EncLoss(19)-&gt;i.user:$2CE4</v>
      </c>
    </row>
    <row r="450" spans="1:5" x14ac:dyDescent="0.3">
      <c r="A450" s="1">
        <v>11572</v>
      </c>
      <c r="B450" s="1" t="str">
        <f t="shared" si="26"/>
        <v>2D34</v>
      </c>
      <c r="C450" t="s">
        <v>1124</v>
      </c>
      <c r="D450" t="s">
        <v>1060</v>
      </c>
      <c r="E450" t="str">
        <f t="shared" si="27"/>
        <v>pUmem_Sta_EncLoss(20)-&gt;i.user:$2D34</v>
      </c>
    </row>
    <row r="451" spans="1:5" x14ac:dyDescent="0.3">
      <c r="A451" s="1">
        <v>11652</v>
      </c>
      <c r="B451" s="1" t="str">
        <f t="shared" si="26"/>
        <v>2D84</v>
      </c>
      <c r="C451" t="s">
        <v>1125</v>
      </c>
      <c r="D451" t="s">
        <v>1060</v>
      </c>
      <c r="E451" t="str">
        <f t="shared" si="27"/>
        <v>pUmem_Sta_EncLoss(21)-&gt;i.user:$2D84</v>
      </c>
    </row>
    <row r="452" spans="1:5" x14ac:dyDescent="0.3">
      <c r="A452" s="1">
        <v>11732</v>
      </c>
      <c r="B452" s="1" t="str">
        <f t="shared" si="26"/>
        <v>2DD4</v>
      </c>
      <c r="C452" t="s">
        <v>1126</v>
      </c>
      <c r="D452" t="s">
        <v>1060</v>
      </c>
      <c r="E452" t="str">
        <f t="shared" si="27"/>
        <v>pUmem_Sta_EncLoss(22)-&gt;i.user:$2DD4</v>
      </c>
    </row>
    <row r="453" spans="1:5" x14ac:dyDescent="0.3">
      <c r="A453" s="1">
        <v>11812</v>
      </c>
      <c r="B453" s="1" t="str">
        <f t="shared" si="26"/>
        <v>2E24</v>
      </c>
      <c r="C453" t="s">
        <v>1127</v>
      </c>
      <c r="D453" t="s">
        <v>1060</v>
      </c>
      <c r="E453" t="str">
        <f t="shared" si="27"/>
        <v>pUmem_Sta_EncLoss(23)-&gt;i.user:$2E24</v>
      </c>
    </row>
    <row r="454" spans="1:5" x14ac:dyDescent="0.3">
      <c r="A454" s="1">
        <v>11892</v>
      </c>
      <c r="B454" s="1" t="str">
        <f t="shared" si="26"/>
        <v>2E74</v>
      </c>
      <c r="C454" t="s">
        <v>1128</v>
      </c>
      <c r="D454" t="s">
        <v>1060</v>
      </c>
      <c r="E454" t="str">
        <f t="shared" si="27"/>
        <v>pUmem_Sta_EncLoss(24)-&gt;i.user:$2E74</v>
      </c>
    </row>
    <row r="455" spans="1:5" x14ac:dyDescent="0.3">
      <c r="A455" s="1">
        <v>11972</v>
      </c>
      <c r="B455" s="1" t="str">
        <f t="shared" si="26"/>
        <v>2EC4</v>
      </c>
      <c r="C455" t="s">
        <v>1129</v>
      </c>
      <c r="D455" t="s">
        <v>1060</v>
      </c>
      <c r="E455" t="str">
        <f t="shared" si="27"/>
        <v>pUmem_Sta_EncLoss(25)-&gt;i.user:$2EC4</v>
      </c>
    </row>
    <row r="456" spans="1:5" x14ac:dyDescent="0.3">
      <c r="A456" s="1">
        <v>12052</v>
      </c>
      <c r="B456" s="1" t="str">
        <f t="shared" si="26"/>
        <v>2F14</v>
      </c>
      <c r="C456" t="s">
        <v>1130</v>
      </c>
      <c r="D456" t="s">
        <v>1060</v>
      </c>
      <c r="E456" t="str">
        <f t="shared" si="27"/>
        <v>pUmem_Sta_EncLoss(26)-&gt;i.user:$2F14</v>
      </c>
    </row>
    <row r="457" spans="1:5" x14ac:dyDescent="0.3">
      <c r="A457" s="1">
        <v>12132</v>
      </c>
      <c r="B457" s="1" t="str">
        <f t="shared" si="26"/>
        <v>2F64</v>
      </c>
      <c r="C457" t="s">
        <v>1131</v>
      </c>
      <c r="D457" t="s">
        <v>1060</v>
      </c>
      <c r="E457" t="str">
        <f t="shared" si="27"/>
        <v>pUmem_Sta_EncLoss(27)-&gt;i.user:$2F64</v>
      </c>
    </row>
    <row r="458" spans="1:5" x14ac:dyDescent="0.3">
      <c r="A458" s="1">
        <v>12212</v>
      </c>
      <c r="B458" s="1" t="str">
        <f t="shared" si="26"/>
        <v>2FB4</v>
      </c>
      <c r="C458" t="s">
        <v>1132</v>
      </c>
      <c r="D458" t="s">
        <v>1060</v>
      </c>
      <c r="E458" t="str">
        <f t="shared" si="27"/>
        <v>pUmem_Sta_EncLoss(28)-&gt;i.user:$2FB4</v>
      </c>
    </row>
    <row r="459" spans="1:5" x14ac:dyDescent="0.3">
      <c r="A459" s="1">
        <v>12292</v>
      </c>
      <c r="B459" s="1" t="str">
        <f t="shared" si="26"/>
        <v>3004</v>
      </c>
      <c r="C459" t="s">
        <v>1133</v>
      </c>
      <c r="D459" t="s">
        <v>1060</v>
      </c>
      <c r="E459" t="str">
        <f t="shared" si="27"/>
        <v>pUmem_Sta_EncLoss(29)-&gt;i.user:$3004</v>
      </c>
    </row>
    <row r="460" spans="1:5" x14ac:dyDescent="0.3">
      <c r="A460" s="1">
        <v>12372</v>
      </c>
      <c r="B460" s="1" t="str">
        <f t="shared" si="26"/>
        <v>3054</v>
      </c>
      <c r="C460" t="s">
        <v>1134</v>
      </c>
      <c r="D460" t="s">
        <v>1060</v>
      </c>
      <c r="E460" t="str">
        <f t="shared" si="27"/>
        <v>pUmem_Sta_EncLoss(30)-&gt;i.user:$3054</v>
      </c>
    </row>
    <row r="461" spans="1:5" x14ac:dyDescent="0.3">
      <c r="A461" s="1">
        <v>12452</v>
      </c>
      <c r="B461" s="1" t="str">
        <f t="shared" si="26"/>
        <v>30A4</v>
      </c>
      <c r="C461" t="s">
        <v>1135</v>
      </c>
      <c r="D461" t="s">
        <v>1060</v>
      </c>
      <c r="E461" t="str">
        <f t="shared" si="27"/>
        <v>pUmem_Sta_EncLoss(31)-&gt;i.user:$30A4</v>
      </c>
    </row>
    <row r="462" spans="1:5" x14ac:dyDescent="0.3">
      <c r="A462" s="1">
        <v>12532</v>
      </c>
      <c r="B462" s="1" t="str">
        <f t="shared" si="26"/>
        <v>30F4</v>
      </c>
      <c r="C462" t="s">
        <v>1136</v>
      </c>
      <c r="D462" t="s">
        <v>1060</v>
      </c>
      <c r="E462" t="str">
        <f t="shared" si="27"/>
        <v>pUmem_Sta_EncLoss(32)-&gt;i.user:$30F4</v>
      </c>
    </row>
    <row r="464" spans="1:5" x14ac:dyDescent="0.3">
      <c r="A464" s="1">
        <v>10056</v>
      </c>
      <c r="B464" s="1" t="str">
        <f>DEC2HEX(A464)</f>
        <v>2748</v>
      </c>
      <c r="C464" t="s">
        <v>1074</v>
      </c>
      <c r="D464" t="s">
        <v>1060</v>
      </c>
      <c r="E464" t="str">
        <f>C464&amp;D464&amp;B464</f>
        <v>pUmem_Sta_I2tErr(01)-&gt;i.user:$2748</v>
      </c>
    </row>
    <row r="465" spans="1:5" x14ac:dyDescent="0.3">
      <c r="A465" s="1">
        <v>10136</v>
      </c>
      <c r="B465" s="1" t="str">
        <f t="shared" ref="B465:B495" si="28">DEC2HEX(A465)</f>
        <v>2798</v>
      </c>
      <c r="C465" t="s">
        <v>1075</v>
      </c>
      <c r="D465" t="s">
        <v>1060</v>
      </c>
      <c r="E465" t="str">
        <f t="shared" ref="E465:E495" si="29">C465&amp;D465&amp;B465</f>
        <v>pUmem_Sta_I2tErr(02)-&gt;i.user:$2798</v>
      </c>
    </row>
    <row r="466" spans="1:5" x14ac:dyDescent="0.3">
      <c r="A466" s="1">
        <v>10216</v>
      </c>
      <c r="B466" s="1" t="str">
        <f t="shared" si="28"/>
        <v>27E8</v>
      </c>
      <c r="C466" t="s">
        <v>1076</v>
      </c>
      <c r="D466" t="s">
        <v>1060</v>
      </c>
      <c r="E466" t="str">
        <f t="shared" si="29"/>
        <v>pUmem_Sta_I2tErr(03)-&gt;i.user:$27E8</v>
      </c>
    </row>
    <row r="467" spans="1:5" x14ac:dyDescent="0.3">
      <c r="A467" s="1">
        <v>10296</v>
      </c>
      <c r="B467" s="1" t="str">
        <f t="shared" si="28"/>
        <v>2838</v>
      </c>
      <c r="C467" t="s">
        <v>1077</v>
      </c>
      <c r="D467" t="s">
        <v>1060</v>
      </c>
      <c r="E467" t="str">
        <f t="shared" si="29"/>
        <v>pUmem_Sta_I2tErr(04)-&gt;i.user:$2838</v>
      </c>
    </row>
    <row r="468" spans="1:5" x14ac:dyDescent="0.3">
      <c r="A468" s="1">
        <v>10376</v>
      </c>
      <c r="B468" s="1" t="str">
        <f t="shared" si="28"/>
        <v>2888</v>
      </c>
      <c r="C468" t="s">
        <v>1078</v>
      </c>
      <c r="D468" t="s">
        <v>1060</v>
      </c>
      <c r="E468" t="str">
        <f t="shared" si="29"/>
        <v>pUmem_Sta_I2tErr(05)-&gt;i.user:$2888</v>
      </c>
    </row>
    <row r="469" spans="1:5" x14ac:dyDescent="0.3">
      <c r="A469" s="1">
        <v>10456</v>
      </c>
      <c r="B469" s="1" t="str">
        <f t="shared" si="28"/>
        <v>28D8</v>
      </c>
      <c r="C469" t="s">
        <v>1079</v>
      </c>
      <c r="D469" t="s">
        <v>1060</v>
      </c>
      <c r="E469" t="str">
        <f t="shared" si="29"/>
        <v>pUmem_Sta_I2tErr(06)-&gt;i.user:$28D8</v>
      </c>
    </row>
    <row r="470" spans="1:5" x14ac:dyDescent="0.3">
      <c r="A470" s="1">
        <v>10536</v>
      </c>
      <c r="B470" s="1" t="str">
        <f t="shared" si="28"/>
        <v>2928</v>
      </c>
      <c r="C470" t="s">
        <v>1080</v>
      </c>
      <c r="D470" t="s">
        <v>1060</v>
      </c>
      <c r="E470" t="str">
        <f t="shared" si="29"/>
        <v>pUmem_Sta_I2tErr(07)-&gt;i.user:$2928</v>
      </c>
    </row>
    <row r="471" spans="1:5" x14ac:dyDescent="0.3">
      <c r="A471" s="1">
        <v>10616</v>
      </c>
      <c r="B471" s="1" t="str">
        <f t="shared" si="28"/>
        <v>2978</v>
      </c>
      <c r="C471" t="s">
        <v>1081</v>
      </c>
      <c r="D471" t="s">
        <v>1060</v>
      </c>
      <c r="E471" t="str">
        <f t="shared" si="29"/>
        <v>pUmem_Sta_I2tErr(08)-&gt;i.user:$2978</v>
      </c>
    </row>
    <row r="472" spans="1:5" x14ac:dyDescent="0.3">
      <c r="A472" s="1">
        <v>10696</v>
      </c>
      <c r="B472" s="1" t="str">
        <f t="shared" si="28"/>
        <v>29C8</v>
      </c>
      <c r="C472" t="s">
        <v>1082</v>
      </c>
      <c r="D472" t="s">
        <v>1060</v>
      </c>
      <c r="E472" t="str">
        <f t="shared" si="29"/>
        <v>pUmem_Sta_I2tErr(09)-&gt;i.user:$29C8</v>
      </c>
    </row>
    <row r="473" spans="1:5" x14ac:dyDescent="0.3">
      <c r="A473" s="1">
        <v>10776</v>
      </c>
      <c r="B473" s="1" t="str">
        <f t="shared" si="28"/>
        <v>2A18</v>
      </c>
      <c r="C473" t="s">
        <v>1083</v>
      </c>
      <c r="D473" t="s">
        <v>1060</v>
      </c>
      <c r="E473" t="str">
        <f t="shared" si="29"/>
        <v>pUmem_Sta_I2tErr(10)-&gt;i.user:$2A18</v>
      </c>
    </row>
    <row r="474" spans="1:5" x14ac:dyDescent="0.3">
      <c r="A474" s="1">
        <v>10856</v>
      </c>
      <c r="B474" s="1" t="str">
        <f t="shared" si="28"/>
        <v>2A68</v>
      </c>
      <c r="C474" t="s">
        <v>1084</v>
      </c>
      <c r="D474" t="s">
        <v>1060</v>
      </c>
      <c r="E474" t="str">
        <f t="shared" si="29"/>
        <v>pUmem_Sta_I2tErr(11)-&gt;i.user:$2A68</v>
      </c>
    </row>
    <row r="475" spans="1:5" x14ac:dyDescent="0.3">
      <c r="A475" s="1">
        <v>10936</v>
      </c>
      <c r="B475" s="1" t="str">
        <f t="shared" si="28"/>
        <v>2AB8</v>
      </c>
      <c r="C475" t="s">
        <v>1085</v>
      </c>
      <c r="D475" t="s">
        <v>1060</v>
      </c>
      <c r="E475" t="str">
        <f t="shared" si="29"/>
        <v>pUmem_Sta_I2tErr(12)-&gt;i.user:$2AB8</v>
      </c>
    </row>
    <row r="476" spans="1:5" x14ac:dyDescent="0.3">
      <c r="A476" s="1">
        <v>11016</v>
      </c>
      <c r="B476" s="1" t="str">
        <f t="shared" si="28"/>
        <v>2B08</v>
      </c>
      <c r="C476" t="s">
        <v>1086</v>
      </c>
      <c r="D476" t="s">
        <v>1060</v>
      </c>
      <c r="E476" t="str">
        <f t="shared" si="29"/>
        <v>pUmem_Sta_I2tErr(13)-&gt;i.user:$2B08</v>
      </c>
    </row>
    <row r="477" spans="1:5" x14ac:dyDescent="0.3">
      <c r="A477" s="1">
        <v>11096</v>
      </c>
      <c r="B477" s="1" t="str">
        <f t="shared" si="28"/>
        <v>2B58</v>
      </c>
      <c r="C477" t="s">
        <v>1087</v>
      </c>
      <c r="D477" t="s">
        <v>1060</v>
      </c>
      <c r="E477" t="str">
        <f t="shared" si="29"/>
        <v>pUmem_Sta_I2tErr(14)-&gt;i.user:$2B58</v>
      </c>
    </row>
    <row r="478" spans="1:5" x14ac:dyDescent="0.3">
      <c r="A478" s="1">
        <v>11176</v>
      </c>
      <c r="B478" s="1" t="str">
        <f t="shared" si="28"/>
        <v>2BA8</v>
      </c>
      <c r="C478" t="s">
        <v>1088</v>
      </c>
      <c r="D478" t="s">
        <v>1060</v>
      </c>
      <c r="E478" t="str">
        <f t="shared" si="29"/>
        <v>pUmem_Sta_I2tErr(15)-&gt;i.user:$2BA8</v>
      </c>
    </row>
    <row r="479" spans="1:5" x14ac:dyDescent="0.3">
      <c r="A479" s="1">
        <v>11256</v>
      </c>
      <c r="B479" s="1" t="str">
        <f t="shared" si="28"/>
        <v>2BF8</v>
      </c>
      <c r="C479" t="s">
        <v>1089</v>
      </c>
      <c r="D479" t="s">
        <v>1060</v>
      </c>
      <c r="E479" t="str">
        <f t="shared" si="29"/>
        <v>pUmem_Sta_I2tErr(16)-&gt;i.user:$2BF8</v>
      </c>
    </row>
    <row r="480" spans="1:5" x14ac:dyDescent="0.3">
      <c r="A480" s="1">
        <v>11336</v>
      </c>
      <c r="B480" s="1" t="str">
        <f t="shared" si="28"/>
        <v>2C48</v>
      </c>
      <c r="C480" t="s">
        <v>1090</v>
      </c>
      <c r="D480" t="s">
        <v>1060</v>
      </c>
      <c r="E480" t="str">
        <f t="shared" si="29"/>
        <v>pUmem_Sta_I2tErr(17)-&gt;i.user:$2C48</v>
      </c>
    </row>
    <row r="481" spans="1:5" x14ac:dyDescent="0.3">
      <c r="A481" s="1">
        <v>11416</v>
      </c>
      <c r="B481" s="1" t="str">
        <f t="shared" si="28"/>
        <v>2C98</v>
      </c>
      <c r="C481" t="s">
        <v>1091</v>
      </c>
      <c r="D481" t="s">
        <v>1060</v>
      </c>
      <c r="E481" t="str">
        <f t="shared" si="29"/>
        <v>pUmem_Sta_I2tErr(18)-&gt;i.user:$2C98</v>
      </c>
    </row>
    <row r="482" spans="1:5" x14ac:dyDescent="0.3">
      <c r="A482" s="1">
        <v>11496</v>
      </c>
      <c r="B482" s="1" t="str">
        <f t="shared" si="28"/>
        <v>2CE8</v>
      </c>
      <c r="C482" t="s">
        <v>1092</v>
      </c>
      <c r="D482" t="s">
        <v>1060</v>
      </c>
      <c r="E482" t="str">
        <f t="shared" si="29"/>
        <v>pUmem_Sta_I2tErr(19)-&gt;i.user:$2CE8</v>
      </c>
    </row>
    <row r="483" spans="1:5" x14ac:dyDescent="0.3">
      <c r="A483" s="1">
        <v>11576</v>
      </c>
      <c r="B483" s="1" t="str">
        <f t="shared" si="28"/>
        <v>2D38</v>
      </c>
      <c r="C483" t="s">
        <v>1093</v>
      </c>
      <c r="D483" t="s">
        <v>1060</v>
      </c>
      <c r="E483" t="str">
        <f t="shared" si="29"/>
        <v>pUmem_Sta_I2tErr(20)-&gt;i.user:$2D38</v>
      </c>
    </row>
    <row r="484" spans="1:5" x14ac:dyDescent="0.3">
      <c r="A484" s="1">
        <v>11656</v>
      </c>
      <c r="B484" s="1" t="str">
        <f t="shared" si="28"/>
        <v>2D88</v>
      </c>
      <c r="C484" t="s">
        <v>1094</v>
      </c>
      <c r="D484" t="s">
        <v>1060</v>
      </c>
      <c r="E484" t="str">
        <f t="shared" si="29"/>
        <v>pUmem_Sta_I2tErr(21)-&gt;i.user:$2D88</v>
      </c>
    </row>
    <row r="485" spans="1:5" x14ac:dyDescent="0.3">
      <c r="A485" s="1">
        <v>11736</v>
      </c>
      <c r="B485" s="1" t="str">
        <f t="shared" si="28"/>
        <v>2DD8</v>
      </c>
      <c r="C485" t="s">
        <v>1095</v>
      </c>
      <c r="D485" t="s">
        <v>1060</v>
      </c>
      <c r="E485" t="str">
        <f t="shared" si="29"/>
        <v>pUmem_Sta_I2tErr(22)-&gt;i.user:$2DD8</v>
      </c>
    </row>
    <row r="486" spans="1:5" x14ac:dyDescent="0.3">
      <c r="A486" s="1">
        <v>11816</v>
      </c>
      <c r="B486" s="1" t="str">
        <f t="shared" si="28"/>
        <v>2E28</v>
      </c>
      <c r="C486" t="s">
        <v>1096</v>
      </c>
      <c r="D486" t="s">
        <v>1060</v>
      </c>
      <c r="E486" t="str">
        <f t="shared" si="29"/>
        <v>pUmem_Sta_I2tErr(23)-&gt;i.user:$2E28</v>
      </c>
    </row>
    <row r="487" spans="1:5" x14ac:dyDescent="0.3">
      <c r="A487" s="1">
        <v>11896</v>
      </c>
      <c r="B487" s="1" t="str">
        <f t="shared" si="28"/>
        <v>2E78</v>
      </c>
      <c r="C487" t="s">
        <v>1097</v>
      </c>
      <c r="D487" t="s">
        <v>1060</v>
      </c>
      <c r="E487" t="str">
        <f t="shared" si="29"/>
        <v>pUmem_Sta_I2tErr(24)-&gt;i.user:$2E78</v>
      </c>
    </row>
    <row r="488" spans="1:5" x14ac:dyDescent="0.3">
      <c r="A488" s="1">
        <v>11976</v>
      </c>
      <c r="B488" s="1" t="str">
        <f t="shared" si="28"/>
        <v>2EC8</v>
      </c>
      <c r="C488" t="s">
        <v>1098</v>
      </c>
      <c r="D488" t="s">
        <v>1060</v>
      </c>
      <c r="E488" t="str">
        <f t="shared" si="29"/>
        <v>pUmem_Sta_I2tErr(25)-&gt;i.user:$2EC8</v>
      </c>
    </row>
    <row r="489" spans="1:5" x14ac:dyDescent="0.3">
      <c r="A489" s="1">
        <v>12056</v>
      </c>
      <c r="B489" s="1" t="str">
        <f t="shared" si="28"/>
        <v>2F18</v>
      </c>
      <c r="C489" t="s">
        <v>1099</v>
      </c>
      <c r="D489" t="s">
        <v>1060</v>
      </c>
      <c r="E489" t="str">
        <f t="shared" si="29"/>
        <v>pUmem_Sta_I2tErr(26)-&gt;i.user:$2F18</v>
      </c>
    </row>
    <row r="490" spans="1:5" x14ac:dyDescent="0.3">
      <c r="A490" s="1">
        <v>12136</v>
      </c>
      <c r="B490" s="1" t="str">
        <f t="shared" si="28"/>
        <v>2F68</v>
      </c>
      <c r="C490" t="s">
        <v>1100</v>
      </c>
      <c r="D490" t="s">
        <v>1060</v>
      </c>
      <c r="E490" t="str">
        <f t="shared" si="29"/>
        <v>pUmem_Sta_I2tErr(27)-&gt;i.user:$2F68</v>
      </c>
    </row>
    <row r="491" spans="1:5" x14ac:dyDescent="0.3">
      <c r="A491" s="1">
        <v>12216</v>
      </c>
      <c r="B491" s="1" t="str">
        <f t="shared" si="28"/>
        <v>2FB8</v>
      </c>
      <c r="C491" t="s">
        <v>1101</v>
      </c>
      <c r="D491" t="s">
        <v>1060</v>
      </c>
      <c r="E491" t="str">
        <f t="shared" si="29"/>
        <v>pUmem_Sta_I2tErr(28)-&gt;i.user:$2FB8</v>
      </c>
    </row>
    <row r="492" spans="1:5" x14ac:dyDescent="0.3">
      <c r="A492" s="1">
        <v>12296</v>
      </c>
      <c r="B492" s="1" t="str">
        <f t="shared" si="28"/>
        <v>3008</v>
      </c>
      <c r="C492" t="s">
        <v>1102</v>
      </c>
      <c r="D492" t="s">
        <v>1060</v>
      </c>
      <c r="E492" t="str">
        <f t="shared" si="29"/>
        <v>pUmem_Sta_I2tErr(29)-&gt;i.user:$3008</v>
      </c>
    </row>
    <row r="493" spans="1:5" x14ac:dyDescent="0.3">
      <c r="A493" s="1">
        <v>12376</v>
      </c>
      <c r="B493" s="1" t="str">
        <f t="shared" si="28"/>
        <v>3058</v>
      </c>
      <c r="C493" t="s">
        <v>1103</v>
      </c>
      <c r="D493" t="s">
        <v>1060</v>
      </c>
      <c r="E493" t="str">
        <f t="shared" si="29"/>
        <v>pUmem_Sta_I2tErr(30)-&gt;i.user:$3058</v>
      </c>
    </row>
    <row r="494" spans="1:5" x14ac:dyDescent="0.3">
      <c r="A494" s="1">
        <v>12456</v>
      </c>
      <c r="B494" s="1" t="str">
        <f t="shared" si="28"/>
        <v>30A8</v>
      </c>
      <c r="C494" t="s">
        <v>1104</v>
      </c>
      <c r="D494" t="s">
        <v>1060</v>
      </c>
      <c r="E494" t="str">
        <f t="shared" si="29"/>
        <v>pUmem_Sta_I2tErr(31)-&gt;i.user:$30A8</v>
      </c>
    </row>
    <row r="495" spans="1:5" x14ac:dyDescent="0.3">
      <c r="A495" s="1">
        <v>12536</v>
      </c>
      <c r="B495" s="1" t="str">
        <f t="shared" si="28"/>
        <v>30F8</v>
      </c>
      <c r="C495" t="s">
        <v>1105</v>
      </c>
      <c r="D495" t="s">
        <v>1060</v>
      </c>
      <c r="E495" t="str">
        <f t="shared" si="29"/>
        <v>pUmem_Sta_I2tErr(32)-&gt;i.user:$30F8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E3F36-C234-406A-850C-E37B2BB56827}">
  <dimension ref="A2:E495"/>
  <sheetViews>
    <sheetView topLeftCell="A337" workbookViewId="0">
      <selection activeCell="I430" sqref="I430"/>
    </sheetView>
  </sheetViews>
  <sheetFormatPr defaultRowHeight="16.5" x14ac:dyDescent="0.3"/>
  <cols>
    <col min="3" max="3" width="31.375" bestFit="1" customWidth="1"/>
    <col min="5" max="5" width="39.375" bestFit="1" customWidth="1"/>
  </cols>
  <sheetData>
    <row r="2" spans="1:5" x14ac:dyDescent="0.3">
      <c r="A2" s="1">
        <v>20000</v>
      </c>
      <c r="B2" s="1" t="str">
        <f>DEC2HEX(A2)</f>
        <v>4E20</v>
      </c>
      <c r="C2" t="s">
        <v>1509</v>
      </c>
      <c r="D2" t="s">
        <v>1060</v>
      </c>
      <c r="E2" t="str">
        <f>C2&amp;D2&amp;B2</f>
        <v>pUmem_Cmd_ServoOn(01)-&gt;i.user:$4E20</v>
      </c>
    </row>
    <row r="3" spans="1:5" x14ac:dyDescent="0.3">
      <c r="A3" s="1">
        <v>20080</v>
      </c>
      <c r="B3" s="1" t="str">
        <f t="shared" ref="B3:B33" si="0">DEC2HEX(A3)</f>
        <v>4E70</v>
      </c>
      <c r="C3" t="s">
        <v>1958</v>
      </c>
      <c r="D3" t="s">
        <v>1060</v>
      </c>
      <c r="E3" t="str">
        <f t="shared" ref="E3:E33" si="1">C3&amp;D3&amp;B3</f>
        <v>pUmem_Cmd_ServoOn(02)-&gt;i.user:$4E70</v>
      </c>
    </row>
    <row r="4" spans="1:5" x14ac:dyDescent="0.3">
      <c r="A4" s="1">
        <v>20160</v>
      </c>
      <c r="B4" s="1" t="str">
        <f t="shared" si="0"/>
        <v>4EC0</v>
      </c>
      <c r="C4" t="s">
        <v>1959</v>
      </c>
      <c r="D4" t="s">
        <v>1060</v>
      </c>
      <c r="E4" t="str">
        <f t="shared" si="1"/>
        <v>pUmem_Cmd_ServoOn(03)-&gt;i.user:$4EC0</v>
      </c>
    </row>
    <row r="5" spans="1:5" x14ac:dyDescent="0.3">
      <c r="A5" s="1">
        <v>20240</v>
      </c>
      <c r="B5" s="1" t="str">
        <f t="shared" si="0"/>
        <v>4F10</v>
      </c>
      <c r="C5" t="s">
        <v>1960</v>
      </c>
      <c r="D5" t="s">
        <v>1060</v>
      </c>
      <c r="E5" t="str">
        <f t="shared" si="1"/>
        <v>pUmem_Cmd_ServoOn(04)-&gt;i.user:$4F10</v>
      </c>
    </row>
    <row r="6" spans="1:5" x14ac:dyDescent="0.3">
      <c r="A6" s="1">
        <v>20320</v>
      </c>
      <c r="B6" s="1" t="str">
        <f t="shared" si="0"/>
        <v>4F60</v>
      </c>
      <c r="C6" t="s">
        <v>1961</v>
      </c>
      <c r="D6" t="s">
        <v>1060</v>
      </c>
      <c r="E6" t="str">
        <f t="shared" si="1"/>
        <v>pUmem_Cmd_ServoOn(05)-&gt;i.user:$4F60</v>
      </c>
    </row>
    <row r="7" spans="1:5" x14ac:dyDescent="0.3">
      <c r="A7" s="1">
        <v>20400</v>
      </c>
      <c r="B7" s="1" t="str">
        <f t="shared" si="0"/>
        <v>4FB0</v>
      </c>
      <c r="C7" t="s">
        <v>1962</v>
      </c>
      <c r="D7" t="s">
        <v>1060</v>
      </c>
      <c r="E7" t="str">
        <f t="shared" si="1"/>
        <v>pUmem_Cmd_ServoOn(06)-&gt;i.user:$4FB0</v>
      </c>
    </row>
    <row r="8" spans="1:5" x14ac:dyDescent="0.3">
      <c r="A8" s="1">
        <v>20480</v>
      </c>
      <c r="B8" s="1" t="str">
        <f t="shared" si="0"/>
        <v>5000</v>
      </c>
      <c r="C8" t="s">
        <v>1963</v>
      </c>
      <c r="D8" t="s">
        <v>1060</v>
      </c>
      <c r="E8" t="str">
        <f t="shared" si="1"/>
        <v>pUmem_Cmd_ServoOn(07)-&gt;i.user:$5000</v>
      </c>
    </row>
    <row r="9" spans="1:5" x14ac:dyDescent="0.3">
      <c r="A9" s="1">
        <v>20560</v>
      </c>
      <c r="B9" s="1" t="str">
        <f t="shared" si="0"/>
        <v>5050</v>
      </c>
      <c r="C9" t="s">
        <v>1964</v>
      </c>
      <c r="D9" t="s">
        <v>1060</v>
      </c>
      <c r="E9" t="str">
        <f t="shared" si="1"/>
        <v>pUmem_Cmd_ServoOn(08)-&gt;i.user:$5050</v>
      </c>
    </row>
    <row r="10" spans="1:5" x14ac:dyDescent="0.3">
      <c r="A10" s="1">
        <v>20640</v>
      </c>
      <c r="B10" s="1" t="str">
        <f t="shared" si="0"/>
        <v>50A0</v>
      </c>
      <c r="C10" t="s">
        <v>1965</v>
      </c>
      <c r="D10" t="s">
        <v>1060</v>
      </c>
      <c r="E10" t="str">
        <f t="shared" si="1"/>
        <v>pUmem_Cmd_ServoOn(09)-&gt;i.user:$50A0</v>
      </c>
    </row>
    <row r="11" spans="1:5" x14ac:dyDescent="0.3">
      <c r="A11" s="1">
        <v>20720</v>
      </c>
      <c r="B11" s="1" t="str">
        <f t="shared" si="0"/>
        <v>50F0</v>
      </c>
      <c r="C11" t="s">
        <v>1966</v>
      </c>
      <c r="D11" t="s">
        <v>1060</v>
      </c>
      <c r="E11" t="str">
        <f t="shared" si="1"/>
        <v>pUmem_Cmd_ServoOn(10)-&gt;i.user:$50F0</v>
      </c>
    </row>
    <row r="12" spans="1:5" x14ac:dyDescent="0.3">
      <c r="A12" s="1">
        <v>20800</v>
      </c>
      <c r="B12" s="1" t="str">
        <f t="shared" si="0"/>
        <v>5140</v>
      </c>
      <c r="C12" t="s">
        <v>1967</v>
      </c>
      <c r="D12" t="s">
        <v>1060</v>
      </c>
      <c r="E12" t="str">
        <f t="shared" si="1"/>
        <v>pUmem_Cmd_ServoOn(11)-&gt;i.user:$5140</v>
      </c>
    </row>
    <row r="13" spans="1:5" x14ac:dyDescent="0.3">
      <c r="A13" s="1">
        <v>20880</v>
      </c>
      <c r="B13" s="1" t="str">
        <f t="shared" si="0"/>
        <v>5190</v>
      </c>
      <c r="C13" t="s">
        <v>1968</v>
      </c>
      <c r="D13" t="s">
        <v>1060</v>
      </c>
      <c r="E13" t="str">
        <f t="shared" si="1"/>
        <v>pUmem_Cmd_ServoOn(12)-&gt;i.user:$5190</v>
      </c>
    </row>
    <row r="14" spans="1:5" x14ac:dyDescent="0.3">
      <c r="A14" s="1">
        <v>20960</v>
      </c>
      <c r="B14" s="1" t="str">
        <f t="shared" si="0"/>
        <v>51E0</v>
      </c>
      <c r="C14" t="s">
        <v>1969</v>
      </c>
      <c r="D14" t="s">
        <v>1060</v>
      </c>
      <c r="E14" t="str">
        <f t="shared" si="1"/>
        <v>pUmem_Cmd_ServoOn(13)-&gt;i.user:$51E0</v>
      </c>
    </row>
    <row r="15" spans="1:5" x14ac:dyDescent="0.3">
      <c r="A15" s="1">
        <v>21040</v>
      </c>
      <c r="B15" s="1" t="str">
        <f t="shared" si="0"/>
        <v>5230</v>
      </c>
      <c r="C15" t="s">
        <v>1970</v>
      </c>
      <c r="D15" t="s">
        <v>1060</v>
      </c>
      <c r="E15" t="str">
        <f t="shared" si="1"/>
        <v>pUmem_Cmd_ServoOn(14)-&gt;i.user:$5230</v>
      </c>
    </row>
    <row r="16" spans="1:5" x14ac:dyDescent="0.3">
      <c r="A16" s="1">
        <v>21120</v>
      </c>
      <c r="B16" s="1" t="str">
        <f t="shared" si="0"/>
        <v>5280</v>
      </c>
      <c r="C16" t="s">
        <v>1971</v>
      </c>
      <c r="D16" t="s">
        <v>1060</v>
      </c>
      <c r="E16" t="str">
        <f t="shared" si="1"/>
        <v>pUmem_Cmd_ServoOn(15)-&gt;i.user:$5280</v>
      </c>
    </row>
    <row r="17" spans="1:5" x14ac:dyDescent="0.3">
      <c r="A17" s="1">
        <v>21200</v>
      </c>
      <c r="B17" s="1" t="str">
        <f t="shared" si="0"/>
        <v>52D0</v>
      </c>
      <c r="C17" t="s">
        <v>1972</v>
      </c>
      <c r="D17" t="s">
        <v>1060</v>
      </c>
      <c r="E17" t="str">
        <f t="shared" si="1"/>
        <v>pUmem_Cmd_ServoOn(16)-&gt;i.user:$52D0</v>
      </c>
    </row>
    <row r="18" spans="1:5" x14ac:dyDescent="0.3">
      <c r="A18" s="1">
        <v>21280</v>
      </c>
      <c r="B18" s="1" t="str">
        <f t="shared" si="0"/>
        <v>5320</v>
      </c>
      <c r="C18" t="s">
        <v>1973</v>
      </c>
      <c r="D18" t="s">
        <v>1060</v>
      </c>
      <c r="E18" t="str">
        <f t="shared" si="1"/>
        <v>pUmem_Cmd_ServoOn(17)-&gt;i.user:$5320</v>
      </c>
    </row>
    <row r="19" spans="1:5" x14ac:dyDescent="0.3">
      <c r="A19" s="1">
        <v>21360</v>
      </c>
      <c r="B19" s="1" t="str">
        <f t="shared" si="0"/>
        <v>5370</v>
      </c>
      <c r="C19" t="s">
        <v>1974</v>
      </c>
      <c r="D19" t="s">
        <v>1060</v>
      </c>
      <c r="E19" t="str">
        <f t="shared" si="1"/>
        <v>pUmem_Cmd_ServoOn(18)-&gt;i.user:$5370</v>
      </c>
    </row>
    <row r="20" spans="1:5" x14ac:dyDescent="0.3">
      <c r="A20" s="1">
        <v>21440</v>
      </c>
      <c r="B20" s="1" t="str">
        <f t="shared" si="0"/>
        <v>53C0</v>
      </c>
      <c r="C20" t="s">
        <v>1975</v>
      </c>
      <c r="D20" t="s">
        <v>1060</v>
      </c>
      <c r="E20" t="str">
        <f t="shared" si="1"/>
        <v>pUmem_Cmd_ServoOn(19)-&gt;i.user:$53C0</v>
      </c>
    </row>
    <row r="21" spans="1:5" x14ac:dyDescent="0.3">
      <c r="A21" s="1">
        <v>21520</v>
      </c>
      <c r="B21" s="1" t="str">
        <f t="shared" si="0"/>
        <v>5410</v>
      </c>
      <c r="C21" t="s">
        <v>1976</v>
      </c>
      <c r="D21" t="s">
        <v>1060</v>
      </c>
      <c r="E21" t="str">
        <f t="shared" si="1"/>
        <v>pUmem_Cmd_ServoOn(20)-&gt;i.user:$5410</v>
      </c>
    </row>
    <row r="22" spans="1:5" x14ac:dyDescent="0.3">
      <c r="A22" s="1">
        <v>21600</v>
      </c>
      <c r="B22" s="1" t="str">
        <f t="shared" si="0"/>
        <v>5460</v>
      </c>
      <c r="C22" t="s">
        <v>1977</v>
      </c>
      <c r="D22" t="s">
        <v>1060</v>
      </c>
      <c r="E22" t="str">
        <f t="shared" si="1"/>
        <v>pUmem_Cmd_ServoOn(21)-&gt;i.user:$5460</v>
      </c>
    </row>
    <row r="23" spans="1:5" x14ac:dyDescent="0.3">
      <c r="A23" s="1">
        <v>21680</v>
      </c>
      <c r="B23" s="1" t="str">
        <f t="shared" si="0"/>
        <v>54B0</v>
      </c>
      <c r="C23" t="s">
        <v>1978</v>
      </c>
      <c r="D23" t="s">
        <v>1060</v>
      </c>
      <c r="E23" t="str">
        <f t="shared" si="1"/>
        <v>pUmem_Cmd_ServoOn(22)-&gt;i.user:$54B0</v>
      </c>
    </row>
    <row r="24" spans="1:5" x14ac:dyDescent="0.3">
      <c r="A24" s="1">
        <v>21760</v>
      </c>
      <c r="B24" s="1" t="str">
        <f t="shared" si="0"/>
        <v>5500</v>
      </c>
      <c r="C24" t="s">
        <v>1979</v>
      </c>
      <c r="D24" t="s">
        <v>1060</v>
      </c>
      <c r="E24" t="str">
        <f t="shared" si="1"/>
        <v>pUmem_Cmd_ServoOn(23)-&gt;i.user:$5500</v>
      </c>
    </row>
    <row r="25" spans="1:5" x14ac:dyDescent="0.3">
      <c r="A25" s="1">
        <v>21840</v>
      </c>
      <c r="B25" s="1" t="str">
        <f t="shared" si="0"/>
        <v>5550</v>
      </c>
      <c r="C25" t="s">
        <v>1980</v>
      </c>
      <c r="D25" t="s">
        <v>1060</v>
      </c>
      <c r="E25" t="str">
        <f t="shared" si="1"/>
        <v>pUmem_Cmd_ServoOn(24)-&gt;i.user:$5550</v>
      </c>
    </row>
    <row r="26" spans="1:5" x14ac:dyDescent="0.3">
      <c r="A26" s="1">
        <v>21920</v>
      </c>
      <c r="B26" s="1" t="str">
        <f t="shared" si="0"/>
        <v>55A0</v>
      </c>
      <c r="C26" t="s">
        <v>1981</v>
      </c>
      <c r="D26" t="s">
        <v>1060</v>
      </c>
      <c r="E26" t="str">
        <f t="shared" si="1"/>
        <v>pUmem_Cmd_ServoOn(25)-&gt;i.user:$55A0</v>
      </c>
    </row>
    <row r="27" spans="1:5" x14ac:dyDescent="0.3">
      <c r="A27" s="1">
        <v>22000</v>
      </c>
      <c r="B27" s="1" t="str">
        <f t="shared" si="0"/>
        <v>55F0</v>
      </c>
      <c r="C27" t="s">
        <v>1982</v>
      </c>
      <c r="D27" t="s">
        <v>1060</v>
      </c>
      <c r="E27" t="str">
        <f t="shared" si="1"/>
        <v>pUmem_Cmd_ServoOn(26)-&gt;i.user:$55F0</v>
      </c>
    </row>
    <row r="28" spans="1:5" x14ac:dyDescent="0.3">
      <c r="A28" s="1">
        <v>22080</v>
      </c>
      <c r="B28" s="1" t="str">
        <f t="shared" si="0"/>
        <v>5640</v>
      </c>
      <c r="C28" t="s">
        <v>1983</v>
      </c>
      <c r="D28" t="s">
        <v>1060</v>
      </c>
      <c r="E28" t="str">
        <f t="shared" si="1"/>
        <v>pUmem_Cmd_ServoOn(27)-&gt;i.user:$5640</v>
      </c>
    </row>
    <row r="29" spans="1:5" x14ac:dyDescent="0.3">
      <c r="A29" s="1">
        <v>22160</v>
      </c>
      <c r="B29" s="1" t="str">
        <f t="shared" si="0"/>
        <v>5690</v>
      </c>
      <c r="C29" t="s">
        <v>1984</v>
      </c>
      <c r="D29" t="s">
        <v>1060</v>
      </c>
      <c r="E29" t="str">
        <f t="shared" si="1"/>
        <v>pUmem_Cmd_ServoOn(28)-&gt;i.user:$5690</v>
      </c>
    </row>
    <row r="30" spans="1:5" x14ac:dyDescent="0.3">
      <c r="A30" s="1">
        <v>22240</v>
      </c>
      <c r="B30" s="1" t="str">
        <f t="shared" si="0"/>
        <v>56E0</v>
      </c>
      <c r="C30" t="s">
        <v>1985</v>
      </c>
      <c r="D30" t="s">
        <v>1060</v>
      </c>
      <c r="E30" t="str">
        <f t="shared" si="1"/>
        <v>pUmem_Cmd_ServoOn(29)-&gt;i.user:$56E0</v>
      </c>
    </row>
    <row r="31" spans="1:5" x14ac:dyDescent="0.3">
      <c r="A31" s="1">
        <v>22320</v>
      </c>
      <c r="B31" s="1" t="str">
        <f t="shared" si="0"/>
        <v>5730</v>
      </c>
      <c r="C31" t="s">
        <v>1986</v>
      </c>
      <c r="D31" t="s">
        <v>1060</v>
      </c>
      <c r="E31" t="str">
        <f t="shared" si="1"/>
        <v>pUmem_Cmd_ServoOn(30)-&gt;i.user:$5730</v>
      </c>
    </row>
    <row r="32" spans="1:5" x14ac:dyDescent="0.3">
      <c r="A32" s="1">
        <v>22400</v>
      </c>
      <c r="B32" s="1" t="str">
        <f t="shared" si="0"/>
        <v>5780</v>
      </c>
      <c r="C32" t="s">
        <v>1987</v>
      </c>
      <c r="D32" t="s">
        <v>1060</v>
      </c>
      <c r="E32" t="str">
        <f t="shared" si="1"/>
        <v>pUmem_Cmd_ServoOn(31)-&gt;i.user:$5780</v>
      </c>
    </row>
    <row r="33" spans="1:5" x14ac:dyDescent="0.3">
      <c r="A33" s="1">
        <v>22480</v>
      </c>
      <c r="B33" s="1" t="str">
        <f t="shared" si="0"/>
        <v>57D0</v>
      </c>
      <c r="C33" t="s">
        <v>1988</v>
      </c>
      <c r="D33" t="s">
        <v>1060</v>
      </c>
      <c r="E33" t="str">
        <f t="shared" si="1"/>
        <v>pUmem_Cmd_ServoOn(32)-&gt;i.user:$57D0</v>
      </c>
    </row>
    <row r="35" spans="1:5" x14ac:dyDescent="0.3">
      <c r="A35" s="1">
        <v>20004</v>
      </c>
      <c r="B35" s="1" t="str">
        <f>DEC2HEX(A35)</f>
        <v>4E24</v>
      </c>
      <c r="C35" t="s">
        <v>1510</v>
      </c>
      <c r="D35" t="s">
        <v>1060</v>
      </c>
      <c r="E35" t="str">
        <f>C35&amp;D35&amp;B35</f>
        <v>pUmem_Cmd_ServoOff(01)-&gt;i.user:$4E24</v>
      </c>
    </row>
    <row r="36" spans="1:5" x14ac:dyDescent="0.3">
      <c r="A36" s="1">
        <v>20084</v>
      </c>
      <c r="B36" s="1" t="str">
        <f t="shared" ref="B36:B66" si="2">DEC2HEX(A36)</f>
        <v>4E74</v>
      </c>
      <c r="C36" t="s">
        <v>1927</v>
      </c>
      <c r="D36" t="s">
        <v>1060</v>
      </c>
      <c r="E36" t="str">
        <f t="shared" ref="E36:E66" si="3">C36&amp;D36&amp;B36</f>
        <v>pUmem_Cmd_ServoOff(02)-&gt;i.user:$4E74</v>
      </c>
    </row>
    <row r="37" spans="1:5" x14ac:dyDescent="0.3">
      <c r="A37" s="1">
        <v>20164</v>
      </c>
      <c r="B37" s="1" t="str">
        <f t="shared" si="2"/>
        <v>4EC4</v>
      </c>
      <c r="C37" t="s">
        <v>1928</v>
      </c>
      <c r="D37" t="s">
        <v>1060</v>
      </c>
      <c r="E37" t="str">
        <f t="shared" si="3"/>
        <v>pUmem_Cmd_ServoOff(03)-&gt;i.user:$4EC4</v>
      </c>
    </row>
    <row r="38" spans="1:5" x14ac:dyDescent="0.3">
      <c r="A38" s="1">
        <v>20244</v>
      </c>
      <c r="B38" s="1" t="str">
        <f t="shared" si="2"/>
        <v>4F14</v>
      </c>
      <c r="C38" t="s">
        <v>1929</v>
      </c>
      <c r="D38" t="s">
        <v>1060</v>
      </c>
      <c r="E38" t="str">
        <f t="shared" si="3"/>
        <v>pUmem_Cmd_ServoOff(04)-&gt;i.user:$4F14</v>
      </c>
    </row>
    <row r="39" spans="1:5" x14ac:dyDescent="0.3">
      <c r="A39" s="1">
        <v>20324</v>
      </c>
      <c r="B39" s="1" t="str">
        <f t="shared" si="2"/>
        <v>4F64</v>
      </c>
      <c r="C39" t="s">
        <v>1930</v>
      </c>
      <c r="D39" t="s">
        <v>1060</v>
      </c>
      <c r="E39" t="str">
        <f t="shared" si="3"/>
        <v>pUmem_Cmd_ServoOff(05)-&gt;i.user:$4F64</v>
      </c>
    </row>
    <row r="40" spans="1:5" x14ac:dyDescent="0.3">
      <c r="A40" s="1">
        <v>20404</v>
      </c>
      <c r="B40" s="1" t="str">
        <f t="shared" si="2"/>
        <v>4FB4</v>
      </c>
      <c r="C40" t="s">
        <v>1931</v>
      </c>
      <c r="D40" t="s">
        <v>1060</v>
      </c>
      <c r="E40" t="str">
        <f t="shared" si="3"/>
        <v>pUmem_Cmd_ServoOff(06)-&gt;i.user:$4FB4</v>
      </c>
    </row>
    <row r="41" spans="1:5" x14ac:dyDescent="0.3">
      <c r="A41" s="1">
        <v>20484</v>
      </c>
      <c r="B41" s="1" t="str">
        <f t="shared" si="2"/>
        <v>5004</v>
      </c>
      <c r="C41" t="s">
        <v>1932</v>
      </c>
      <c r="D41" t="s">
        <v>1060</v>
      </c>
      <c r="E41" t="str">
        <f t="shared" si="3"/>
        <v>pUmem_Cmd_ServoOff(07)-&gt;i.user:$5004</v>
      </c>
    </row>
    <row r="42" spans="1:5" x14ac:dyDescent="0.3">
      <c r="A42" s="1">
        <v>20564</v>
      </c>
      <c r="B42" s="1" t="str">
        <f t="shared" si="2"/>
        <v>5054</v>
      </c>
      <c r="C42" t="s">
        <v>1933</v>
      </c>
      <c r="D42" t="s">
        <v>1060</v>
      </c>
      <c r="E42" t="str">
        <f t="shared" si="3"/>
        <v>pUmem_Cmd_ServoOff(08)-&gt;i.user:$5054</v>
      </c>
    </row>
    <row r="43" spans="1:5" x14ac:dyDescent="0.3">
      <c r="A43" s="1">
        <v>20644</v>
      </c>
      <c r="B43" s="1" t="str">
        <f t="shared" si="2"/>
        <v>50A4</v>
      </c>
      <c r="C43" t="s">
        <v>1934</v>
      </c>
      <c r="D43" t="s">
        <v>1060</v>
      </c>
      <c r="E43" t="str">
        <f t="shared" si="3"/>
        <v>pUmem_Cmd_ServoOff(09)-&gt;i.user:$50A4</v>
      </c>
    </row>
    <row r="44" spans="1:5" x14ac:dyDescent="0.3">
      <c r="A44" s="1">
        <v>20724</v>
      </c>
      <c r="B44" s="1" t="str">
        <f t="shared" si="2"/>
        <v>50F4</v>
      </c>
      <c r="C44" t="s">
        <v>1935</v>
      </c>
      <c r="D44" t="s">
        <v>1060</v>
      </c>
      <c r="E44" t="str">
        <f t="shared" si="3"/>
        <v>pUmem_Cmd_ServoOff(10)-&gt;i.user:$50F4</v>
      </c>
    </row>
    <row r="45" spans="1:5" x14ac:dyDescent="0.3">
      <c r="A45" s="1">
        <v>20804</v>
      </c>
      <c r="B45" s="1" t="str">
        <f t="shared" si="2"/>
        <v>5144</v>
      </c>
      <c r="C45" t="s">
        <v>1936</v>
      </c>
      <c r="D45" t="s">
        <v>1060</v>
      </c>
      <c r="E45" t="str">
        <f t="shared" si="3"/>
        <v>pUmem_Cmd_ServoOff(11)-&gt;i.user:$5144</v>
      </c>
    </row>
    <row r="46" spans="1:5" x14ac:dyDescent="0.3">
      <c r="A46" s="1">
        <v>20884</v>
      </c>
      <c r="B46" s="1" t="str">
        <f t="shared" si="2"/>
        <v>5194</v>
      </c>
      <c r="C46" t="s">
        <v>1937</v>
      </c>
      <c r="D46" t="s">
        <v>1060</v>
      </c>
      <c r="E46" t="str">
        <f t="shared" si="3"/>
        <v>pUmem_Cmd_ServoOff(12)-&gt;i.user:$5194</v>
      </c>
    </row>
    <row r="47" spans="1:5" x14ac:dyDescent="0.3">
      <c r="A47" s="1">
        <v>20964</v>
      </c>
      <c r="B47" s="1" t="str">
        <f t="shared" si="2"/>
        <v>51E4</v>
      </c>
      <c r="C47" t="s">
        <v>1938</v>
      </c>
      <c r="D47" t="s">
        <v>1060</v>
      </c>
      <c r="E47" t="str">
        <f t="shared" si="3"/>
        <v>pUmem_Cmd_ServoOff(13)-&gt;i.user:$51E4</v>
      </c>
    </row>
    <row r="48" spans="1:5" x14ac:dyDescent="0.3">
      <c r="A48" s="1">
        <v>21044</v>
      </c>
      <c r="B48" s="1" t="str">
        <f t="shared" si="2"/>
        <v>5234</v>
      </c>
      <c r="C48" t="s">
        <v>1939</v>
      </c>
      <c r="D48" t="s">
        <v>1060</v>
      </c>
      <c r="E48" t="str">
        <f t="shared" si="3"/>
        <v>pUmem_Cmd_ServoOff(14)-&gt;i.user:$5234</v>
      </c>
    </row>
    <row r="49" spans="1:5" x14ac:dyDescent="0.3">
      <c r="A49" s="1">
        <v>21124</v>
      </c>
      <c r="B49" s="1" t="str">
        <f t="shared" si="2"/>
        <v>5284</v>
      </c>
      <c r="C49" t="s">
        <v>1940</v>
      </c>
      <c r="D49" t="s">
        <v>1060</v>
      </c>
      <c r="E49" t="str">
        <f t="shared" si="3"/>
        <v>pUmem_Cmd_ServoOff(15)-&gt;i.user:$5284</v>
      </c>
    </row>
    <row r="50" spans="1:5" x14ac:dyDescent="0.3">
      <c r="A50" s="1">
        <v>21204</v>
      </c>
      <c r="B50" s="1" t="str">
        <f t="shared" si="2"/>
        <v>52D4</v>
      </c>
      <c r="C50" t="s">
        <v>1941</v>
      </c>
      <c r="D50" t="s">
        <v>1060</v>
      </c>
      <c r="E50" t="str">
        <f t="shared" si="3"/>
        <v>pUmem_Cmd_ServoOff(16)-&gt;i.user:$52D4</v>
      </c>
    </row>
    <row r="51" spans="1:5" x14ac:dyDescent="0.3">
      <c r="A51" s="1">
        <v>21284</v>
      </c>
      <c r="B51" s="1" t="str">
        <f t="shared" si="2"/>
        <v>5324</v>
      </c>
      <c r="C51" t="s">
        <v>1942</v>
      </c>
      <c r="D51" t="s">
        <v>1060</v>
      </c>
      <c r="E51" t="str">
        <f t="shared" si="3"/>
        <v>pUmem_Cmd_ServoOff(17)-&gt;i.user:$5324</v>
      </c>
    </row>
    <row r="52" spans="1:5" x14ac:dyDescent="0.3">
      <c r="A52" s="1">
        <v>21364</v>
      </c>
      <c r="B52" s="1" t="str">
        <f t="shared" si="2"/>
        <v>5374</v>
      </c>
      <c r="C52" t="s">
        <v>1943</v>
      </c>
      <c r="D52" t="s">
        <v>1060</v>
      </c>
      <c r="E52" t="str">
        <f t="shared" si="3"/>
        <v>pUmem_Cmd_ServoOff(18)-&gt;i.user:$5374</v>
      </c>
    </row>
    <row r="53" spans="1:5" x14ac:dyDescent="0.3">
      <c r="A53" s="1">
        <v>21444</v>
      </c>
      <c r="B53" s="1" t="str">
        <f t="shared" si="2"/>
        <v>53C4</v>
      </c>
      <c r="C53" t="s">
        <v>1944</v>
      </c>
      <c r="D53" t="s">
        <v>1060</v>
      </c>
      <c r="E53" t="str">
        <f t="shared" si="3"/>
        <v>pUmem_Cmd_ServoOff(19)-&gt;i.user:$53C4</v>
      </c>
    </row>
    <row r="54" spans="1:5" x14ac:dyDescent="0.3">
      <c r="A54" s="1">
        <v>21524</v>
      </c>
      <c r="B54" s="1" t="str">
        <f t="shared" si="2"/>
        <v>5414</v>
      </c>
      <c r="C54" t="s">
        <v>1945</v>
      </c>
      <c r="D54" t="s">
        <v>1060</v>
      </c>
      <c r="E54" t="str">
        <f t="shared" si="3"/>
        <v>pUmem_Cmd_ServoOff(20)-&gt;i.user:$5414</v>
      </c>
    </row>
    <row r="55" spans="1:5" x14ac:dyDescent="0.3">
      <c r="A55" s="1">
        <v>21604</v>
      </c>
      <c r="B55" s="1" t="str">
        <f t="shared" si="2"/>
        <v>5464</v>
      </c>
      <c r="C55" t="s">
        <v>1946</v>
      </c>
      <c r="D55" t="s">
        <v>1060</v>
      </c>
      <c r="E55" t="str">
        <f t="shared" si="3"/>
        <v>pUmem_Cmd_ServoOff(21)-&gt;i.user:$5464</v>
      </c>
    </row>
    <row r="56" spans="1:5" x14ac:dyDescent="0.3">
      <c r="A56" s="1">
        <v>21684</v>
      </c>
      <c r="B56" s="1" t="str">
        <f t="shared" si="2"/>
        <v>54B4</v>
      </c>
      <c r="C56" t="s">
        <v>1947</v>
      </c>
      <c r="D56" t="s">
        <v>1060</v>
      </c>
      <c r="E56" t="str">
        <f t="shared" si="3"/>
        <v>pUmem_Cmd_ServoOff(22)-&gt;i.user:$54B4</v>
      </c>
    </row>
    <row r="57" spans="1:5" x14ac:dyDescent="0.3">
      <c r="A57" s="1">
        <v>21764</v>
      </c>
      <c r="B57" s="1" t="str">
        <f t="shared" si="2"/>
        <v>5504</v>
      </c>
      <c r="C57" t="s">
        <v>1948</v>
      </c>
      <c r="D57" t="s">
        <v>1060</v>
      </c>
      <c r="E57" t="str">
        <f t="shared" si="3"/>
        <v>pUmem_Cmd_ServoOff(23)-&gt;i.user:$5504</v>
      </c>
    </row>
    <row r="58" spans="1:5" x14ac:dyDescent="0.3">
      <c r="A58" s="1">
        <v>21844</v>
      </c>
      <c r="B58" s="1" t="str">
        <f t="shared" si="2"/>
        <v>5554</v>
      </c>
      <c r="C58" t="s">
        <v>1949</v>
      </c>
      <c r="D58" t="s">
        <v>1060</v>
      </c>
      <c r="E58" t="str">
        <f t="shared" si="3"/>
        <v>pUmem_Cmd_ServoOff(24)-&gt;i.user:$5554</v>
      </c>
    </row>
    <row r="59" spans="1:5" x14ac:dyDescent="0.3">
      <c r="A59" s="1">
        <v>21924</v>
      </c>
      <c r="B59" s="1" t="str">
        <f t="shared" si="2"/>
        <v>55A4</v>
      </c>
      <c r="C59" t="s">
        <v>1950</v>
      </c>
      <c r="D59" t="s">
        <v>1060</v>
      </c>
      <c r="E59" t="str">
        <f t="shared" si="3"/>
        <v>pUmem_Cmd_ServoOff(25)-&gt;i.user:$55A4</v>
      </c>
    </row>
    <row r="60" spans="1:5" x14ac:dyDescent="0.3">
      <c r="A60" s="1">
        <v>22004</v>
      </c>
      <c r="B60" s="1" t="str">
        <f t="shared" si="2"/>
        <v>55F4</v>
      </c>
      <c r="C60" t="s">
        <v>1951</v>
      </c>
      <c r="D60" t="s">
        <v>1060</v>
      </c>
      <c r="E60" t="str">
        <f t="shared" si="3"/>
        <v>pUmem_Cmd_ServoOff(26)-&gt;i.user:$55F4</v>
      </c>
    </row>
    <row r="61" spans="1:5" x14ac:dyDescent="0.3">
      <c r="A61" s="1">
        <v>22084</v>
      </c>
      <c r="B61" s="1" t="str">
        <f t="shared" si="2"/>
        <v>5644</v>
      </c>
      <c r="C61" t="s">
        <v>1952</v>
      </c>
      <c r="D61" t="s">
        <v>1060</v>
      </c>
      <c r="E61" t="str">
        <f t="shared" si="3"/>
        <v>pUmem_Cmd_ServoOff(27)-&gt;i.user:$5644</v>
      </c>
    </row>
    <row r="62" spans="1:5" x14ac:dyDescent="0.3">
      <c r="A62" s="1">
        <v>22164</v>
      </c>
      <c r="B62" s="1" t="str">
        <f t="shared" si="2"/>
        <v>5694</v>
      </c>
      <c r="C62" t="s">
        <v>1953</v>
      </c>
      <c r="D62" t="s">
        <v>1060</v>
      </c>
      <c r="E62" t="str">
        <f t="shared" si="3"/>
        <v>pUmem_Cmd_ServoOff(28)-&gt;i.user:$5694</v>
      </c>
    </row>
    <row r="63" spans="1:5" x14ac:dyDescent="0.3">
      <c r="A63" s="1">
        <v>22244</v>
      </c>
      <c r="B63" s="1" t="str">
        <f t="shared" si="2"/>
        <v>56E4</v>
      </c>
      <c r="C63" t="s">
        <v>1954</v>
      </c>
      <c r="D63" t="s">
        <v>1060</v>
      </c>
      <c r="E63" t="str">
        <f t="shared" si="3"/>
        <v>pUmem_Cmd_ServoOff(29)-&gt;i.user:$56E4</v>
      </c>
    </row>
    <row r="64" spans="1:5" x14ac:dyDescent="0.3">
      <c r="A64" s="1">
        <v>22324</v>
      </c>
      <c r="B64" s="1" t="str">
        <f t="shared" si="2"/>
        <v>5734</v>
      </c>
      <c r="C64" t="s">
        <v>1955</v>
      </c>
      <c r="D64" t="s">
        <v>1060</v>
      </c>
      <c r="E64" t="str">
        <f t="shared" si="3"/>
        <v>pUmem_Cmd_ServoOff(30)-&gt;i.user:$5734</v>
      </c>
    </row>
    <row r="65" spans="1:5" x14ac:dyDescent="0.3">
      <c r="A65" s="1">
        <v>22404</v>
      </c>
      <c r="B65" s="1" t="str">
        <f t="shared" si="2"/>
        <v>5784</v>
      </c>
      <c r="C65" t="s">
        <v>1956</v>
      </c>
      <c r="D65" t="s">
        <v>1060</v>
      </c>
      <c r="E65" t="str">
        <f t="shared" si="3"/>
        <v>pUmem_Cmd_ServoOff(31)-&gt;i.user:$5784</v>
      </c>
    </row>
    <row r="66" spans="1:5" x14ac:dyDescent="0.3">
      <c r="A66" s="1">
        <v>22484</v>
      </c>
      <c r="B66" s="1" t="str">
        <f t="shared" si="2"/>
        <v>57D4</v>
      </c>
      <c r="C66" t="s">
        <v>1957</v>
      </c>
      <c r="D66" t="s">
        <v>1060</v>
      </c>
      <c r="E66" t="str">
        <f t="shared" si="3"/>
        <v>pUmem_Cmd_ServoOff(32)-&gt;i.user:$57D4</v>
      </c>
    </row>
    <row r="68" spans="1:5" x14ac:dyDescent="0.3">
      <c r="A68" s="1">
        <v>20008</v>
      </c>
      <c r="B68" s="1" t="str">
        <f>DEC2HEX(A68)</f>
        <v>4E28</v>
      </c>
      <c r="C68" t="s">
        <v>1511</v>
      </c>
      <c r="D68" t="s">
        <v>1060</v>
      </c>
      <c r="E68" t="str">
        <f>C68&amp;D68&amp;B68</f>
        <v>pUmem_Cmd_HomeStart(01)-&gt;i.user:$4E28</v>
      </c>
    </row>
    <row r="69" spans="1:5" x14ac:dyDescent="0.3">
      <c r="A69" s="1">
        <v>20088</v>
      </c>
      <c r="B69" s="1" t="str">
        <f t="shared" ref="B69:B99" si="4">DEC2HEX(A69)</f>
        <v>4E78</v>
      </c>
      <c r="C69" t="s">
        <v>1896</v>
      </c>
      <c r="D69" t="s">
        <v>1060</v>
      </c>
      <c r="E69" t="str">
        <f t="shared" ref="E69:E99" si="5">C69&amp;D69&amp;B69</f>
        <v>pUmem_Cmd_HomeStart(02)-&gt;i.user:$4E78</v>
      </c>
    </row>
    <row r="70" spans="1:5" x14ac:dyDescent="0.3">
      <c r="A70" s="1">
        <v>20168</v>
      </c>
      <c r="B70" s="1" t="str">
        <f t="shared" si="4"/>
        <v>4EC8</v>
      </c>
      <c r="C70" t="s">
        <v>1897</v>
      </c>
      <c r="D70" t="s">
        <v>1060</v>
      </c>
      <c r="E70" t="str">
        <f t="shared" si="5"/>
        <v>pUmem_Cmd_HomeStart(03)-&gt;i.user:$4EC8</v>
      </c>
    </row>
    <row r="71" spans="1:5" x14ac:dyDescent="0.3">
      <c r="A71" s="1">
        <v>20248</v>
      </c>
      <c r="B71" s="1" t="str">
        <f t="shared" si="4"/>
        <v>4F18</v>
      </c>
      <c r="C71" t="s">
        <v>1898</v>
      </c>
      <c r="D71" t="s">
        <v>1060</v>
      </c>
      <c r="E71" t="str">
        <f t="shared" si="5"/>
        <v>pUmem_Cmd_HomeStart(04)-&gt;i.user:$4F18</v>
      </c>
    </row>
    <row r="72" spans="1:5" x14ac:dyDescent="0.3">
      <c r="A72" s="1">
        <v>20328</v>
      </c>
      <c r="B72" s="1" t="str">
        <f t="shared" si="4"/>
        <v>4F68</v>
      </c>
      <c r="C72" t="s">
        <v>1899</v>
      </c>
      <c r="D72" t="s">
        <v>1060</v>
      </c>
      <c r="E72" t="str">
        <f t="shared" si="5"/>
        <v>pUmem_Cmd_HomeStart(05)-&gt;i.user:$4F68</v>
      </c>
    </row>
    <row r="73" spans="1:5" x14ac:dyDescent="0.3">
      <c r="A73" s="1">
        <v>20408</v>
      </c>
      <c r="B73" s="1" t="str">
        <f t="shared" si="4"/>
        <v>4FB8</v>
      </c>
      <c r="C73" t="s">
        <v>1900</v>
      </c>
      <c r="D73" t="s">
        <v>1060</v>
      </c>
      <c r="E73" t="str">
        <f t="shared" si="5"/>
        <v>pUmem_Cmd_HomeStart(06)-&gt;i.user:$4FB8</v>
      </c>
    </row>
    <row r="74" spans="1:5" x14ac:dyDescent="0.3">
      <c r="A74" s="1">
        <v>20488</v>
      </c>
      <c r="B74" s="1" t="str">
        <f t="shared" si="4"/>
        <v>5008</v>
      </c>
      <c r="C74" t="s">
        <v>1901</v>
      </c>
      <c r="D74" t="s">
        <v>1060</v>
      </c>
      <c r="E74" t="str">
        <f t="shared" si="5"/>
        <v>pUmem_Cmd_HomeStart(07)-&gt;i.user:$5008</v>
      </c>
    </row>
    <row r="75" spans="1:5" x14ac:dyDescent="0.3">
      <c r="A75" s="1">
        <v>20568</v>
      </c>
      <c r="B75" s="1" t="str">
        <f t="shared" si="4"/>
        <v>5058</v>
      </c>
      <c r="C75" t="s">
        <v>1902</v>
      </c>
      <c r="D75" t="s">
        <v>1060</v>
      </c>
      <c r="E75" t="str">
        <f t="shared" si="5"/>
        <v>pUmem_Cmd_HomeStart(08)-&gt;i.user:$5058</v>
      </c>
    </row>
    <row r="76" spans="1:5" x14ac:dyDescent="0.3">
      <c r="A76" s="1">
        <v>20648</v>
      </c>
      <c r="B76" s="1" t="str">
        <f t="shared" si="4"/>
        <v>50A8</v>
      </c>
      <c r="C76" t="s">
        <v>1903</v>
      </c>
      <c r="D76" t="s">
        <v>1060</v>
      </c>
      <c r="E76" t="str">
        <f t="shared" si="5"/>
        <v>pUmem_Cmd_HomeStart(09)-&gt;i.user:$50A8</v>
      </c>
    </row>
    <row r="77" spans="1:5" x14ac:dyDescent="0.3">
      <c r="A77" s="1">
        <v>20728</v>
      </c>
      <c r="B77" s="1" t="str">
        <f t="shared" si="4"/>
        <v>50F8</v>
      </c>
      <c r="C77" t="s">
        <v>1904</v>
      </c>
      <c r="D77" t="s">
        <v>1060</v>
      </c>
      <c r="E77" t="str">
        <f t="shared" si="5"/>
        <v>pUmem_Cmd_HomeStart(10)-&gt;i.user:$50F8</v>
      </c>
    </row>
    <row r="78" spans="1:5" x14ac:dyDescent="0.3">
      <c r="A78" s="1">
        <v>20808</v>
      </c>
      <c r="B78" s="1" t="str">
        <f t="shared" si="4"/>
        <v>5148</v>
      </c>
      <c r="C78" t="s">
        <v>1905</v>
      </c>
      <c r="D78" t="s">
        <v>1060</v>
      </c>
      <c r="E78" t="str">
        <f t="shared" si="5"/>
        <v>pUmem_Cmd_HomeStart(11)-&gt;i.user:$5148</v>
      </c>
    </row>
    <row r="79" spans="1:5" x14ac:dyDescent="0.3">
      <c r="A79" s="1">
        <v>20888</v>
      </c>
      <c r="B79" s="1" t="str">
        <f t="shared" si="4"/>
        <v>5198</v>
      </c>
      <c r="C79" t="s">
        <v>1906</v>
      </c>
      <c r="D79" t="s">
        <v>1060</v>
      </c>
      <c r="E79" t="str">
        <f t="shared" si="5"/>
        <v>pUmem_Cmd_HomeStart(12)-&gt;i.user:$5198</v>
      </c>
    </row>
    <row r="80" spans="1:5" x14ac:dyDescent="0.3">
      <c r="A80" s="1">
        <v>20968</v>
      </c>
      <c r="B80" s="1" t="str">
        <f t="shared" si="4"/>
        <v>51E8</v>
      </c>
      <c r="C80" t="s">
        <v>1907</v>
      </c>
      <c r="D80" t="s">
        <v>1060</v>
      </c>
      <c r="E80" t="str">
        <f t="shared" si="5"/>
        <v>pUmem_Cmd_HomeStart(13)-&gt;i.user:$51E8</v>
      </c>
    </row>
    <row r="81" spans="1:5" x14ac:dyDescent="0.3">
      <c r="A81" s="1">
        <v>21048</v>
      </c>
      <c r="B81" s="1" t="str">
        <f t="shared" si="4"/>
        <v>5238</v>
      </c>
      <c r="C81" t="s">
        <v>1908</v>
      </c>
      <c r="D81" t="s">
        <v>1060</v>
      </c>
      <c r="E81" t="str">
        <f t="shared" si="5"/>
        <v>pUmem_Cmd_HomeStart(14)-&gt;i.user:$5238</v>
      </c>
    </row>
    <row r="82" spans="1:5" x14ac:dyDescent="0.3">
      <c r="A82" s="1">
        <v>21128</v>
      </c>
      <c r="B82" s="1" t="str">
        <f t="shared" si="4"/>
        <v>5288</v>
      </c>
      <c r="C82" t="s">
        <v>1909</v>
      </c>
      <c r="D82" t="s">
        <v>1060</v>
      </c>
      <c r="E82" t="str">
        <f t="shared" si="5"/>
        <v>pUmem_Cmd_HomeStart(15)-&gt;i.user:$5288</v>
      </c>
    </row>
    <row r="83" spans="1:5" x14ac:dyDescent="0.3">
      <c r="A83" s="1">
        <v>21208</v>
      </c>
      <c r="B83" s="1" t="str">
        <f t="shared" si="4"/>
        <v>52D8</v>
      </c>
      <c r="C83" t="s">
        <v>1910</v>
      </c>
      <c r="D83" t="s">
        <v>1060</v>
      </c>
      <c r="E83" t="str">
        <f t="shared" si="5"/>
        <v>pUmem_Cmd_HomeStart(16)-&gt;i.user:$52D8</v>
      </c>
    </row>
    <row r="84" spans="1:5" x14ac:dyDescent="0.3">
      <c r="A84" s="1">
        <v>21288</v>
      </c>
      <c r="B84" s="1" t="str">
        <f t="shared" si="4"/>
        <v>5328</v>
      </c>
      <c r="C84" t="s">
        <v>1911</v>
      </c>
      <c r="D84" t="s">
        <v>1060</v>
      </c>
      <c r="E84" t="str">
        <f t="shared" si="5"/>
        <v>pUmem_Cmd_HomeStart(17)-&gt;i.user:$5328</v>
      </c>
    </row>
    <row r="85" spans="1:5" x14ac:dyDescent="0.3">
      <c r="A85" s="1">
        <v>21368</v>
      </c>
      <c r="B85" s="1" t="str">
        <f t="shared" si="4"/>
        <v>5378</v>
      </c>
      <c r="C85" t="s">
        <v>1912</v>
      </c>
      <c r="D85" t="s">
        <v>1060</v>
      </c>
      <c r="E85" t="str">
        <f t="shared" si="5"/>
        <v>pUmem_Cmd_HomeStart(18)-&gt;i.user:$5378</v>
      </c>
    </row>
    <row r="86" spans="1:5" x14ac:dyDescent="0.3">
      <c r="A86" s="1">
        <v>21448</v>
      </c>
      <c r="B86" s="1" t="str">
        <f t="shared" si="4"/>
        <v>53C8</v>
      </c>
      <c r="C86" t="s">
        <v>1913</v>
      </c>
      <c r="D86" t="s">
        <v>1060</v>
      </c>
      <c r="E86" t="str">
        <f t="shared" si="5"/>
        <v>pUmem_Cmd_HomeStart(19)-&gt;i.user:$53C8</v>
      </c>
    </row>
    <row r="87" spans="1:5" x14ac:dyDescent="0.3">
      <c r="A87" s="1">
        <v>21528</v>
      </c>
      <c r="B87" s="1" t="str">
        <f t="shared" si="4"/>
        <v>5418</v>
      </c>
      <c r="C87" t="s">
        <v>1914</v>
      </c>
      <c r="D87" t="s">
        <v>1060</v>
      </c>
      <c r="E87" t="str">
        <f t="shared" si="5"/>
        <v>pUmem_Cmd_HomeStart(20)-&gt;i.user:$5418</v>
      </c>
    </row>
    <row r="88" spans="1:5" x14ac:dyDescent="0.3">
      <c r="A88" s="1">
        <v>21608</v>
      </c>
      <c r="B88" s="1" t="str">
        <f t="shared" si="4"/>
        <v>5468</v>
      </c>
      <c r="C88" t="s">
        <v>1915</v>
      </c>
      <c r="D88" t="s">
        <v>1060</v>
      </c>
      <c r="E88" t="str">
        <f t="shared" si="5"/>
        <v>pUmem_Cmd_HomeStart(21)-&gt;i.user:$5468</v>
      </c>
    </row>
    <row r="89" spans="1:5" x14ac:dyDescent="0.3">
      <c r="A89" s="1">
        <v>21688</v>
      </c>
      <c r="B89" s="1" t="str">
        <f t="shared" si="4"/>
        <v>54B8</v>
      </c>
      <c r="C89" t="s">
        <v>1916</v>
      </c>
      <c r="D89" t="s">
        <v>1060</v>
      </c>
      <c r="E89" t="str">
        <f t="shared" si="5"/>
        <v>pUmem_Cmd_HomeStart(22)-&gt;i.user:$54B8</v>
      </c>
    </row>
    <row r="90" spans="1:5" x14ac:dyDescent="0.3">
      <c r="A90" s="1">
        <v>21768</v>
      </c>
      <c r="B90" s="1" t="str">
        <f t="shared" si="4"/>
        <v>5508</v>
      </c>
      <c r="C90" t="s">
        <v>1917</v>
      </c>
      <c r="D90" t="s">
        <v>1060</v>
      </c>
      <c r="E90" t="str">
        <f t="shared" si="5"/>
        <v>pUmem_Cmd_HomeStart(23)-&gt;i.user:$5508</v>
      </c>
    </row>
    <row r="91" spans="1:5" x14ac:dyDescent="0.3">
      <c r="A91" s="1">
        <v>21848</v>
      </c>
      <c r="B91" s="1" t="str">
        <f t="shared" si="4"/>
        <v>5558</v>
      </c>
      <c r="C91" t="s">
        <v>1918</v>
      </c>
      <c r="D91" t="s">
        <v>1060</v>
      </c>
      <c r="E91" t="str">
        <f t="shared" si="5"/>
        <v>pUmem_Cmd_HomeStart(24)-&gt;i.user:$5558</v>
      </c>
    </row>
    <row r="92" spans="1:5" x14ac:dyDescent="0.3">
      <c r="A92" s="1">
        <v>21928</v>
      </c>
      <c r="B92" s="1" t="str">
        <f t="shared" si="4"/>
        <v>55A8</v>
      </c>
      <c r="C92" t="s">
        <v>1919</v>
      </c>
      <c r="D92" t="s">
        <v>1060</v>
      </c>
      <c r="E92" t="str">
        <f t="shared" si="5"/>
        <v>pUmem_Cmd_HomeStart(25)-&gt;i.user:$55A8</v>
      </c>
    </row>
    <row r="93" spans="1:5" x14ac:dyDescent="0.3">
      <c r="A93" s="1">
        <v>22008</v>
      </c>
      <c r="B93" s="1" t="str">
        <f t="shared" si="4"/>
        <v>55F8</v>
      </c>
      <c r="C93" t="s">
        <v>1920</v>
      </c>
      <c r="D93" t="s">
        <v>1060</v>
      </c>
      <c r="E93" t="str">
        <f t="shared" si="5"/>
        <v>pUmem_Cmd_HomeStart(26)-&gt;i.user:$55F8</v>
      </c>
    </row>
    <row r="94" spans="1:5" x14ac:dyDescent="0.3">
      <c r="A94" s="1">
        <v>22088</v>
      </c>
      <c r="B94" s="1" t="str">
        <f t="shared" si="4"/>
        <v>5648</v>
      </c>
      <c r="C94" t="s">
        <v>1921</v>
      </c>
      <c r="D94" t="s">
        <v>1060</v>
      </c>
      <c r="E94" t="str">
        <f t="shared" si="5"/>
        <v>pUmem_Cmd_HomeStart(27)-&gt;i.user:$5648</v>
      </c>
    </row>
    <row r="95" spans="1:5" x14ac:dyDescent="0.3">
      <c r="A95" s="1">
        <v>22168</v>
      </c>
      <c r="B95" s="1" t="str">
        <f t="shared" si="4"/>
        <v>5698</v>
      </c>
      <c r="C95" t="s">
        <v>1922</v>
      </c>
      <c r="D95" t="s">
        <v>1060</v>
      </c>
      <c r="E95" t="str">
        <f t="shared" si="5"/>
        <v>pUmem_Cmd_HomeStart(28)-&gt;i.user:$5698</v>
      </c>
    </row>
    <row r="96" spans="1:5" x14ac:dyDescent="0.3">
      <c r="A96" s="1">
        <v>22248</v>
      </c>
      <c r="B96" s="1" t="str">
        <f t="shared" si="4"/>
        <v>56E8</v>
      </c>
      <c r="C96" t="s">
        <v>1923</v>
      </c>
      <c r="D96" t="s">
        <v>1060</v>
      </c>
      <c r="E96" t="str">
        <f t="shared" si="5"/>
        <v>pUmem_Cmd_HomeStart(29)-&gt;i.user:$56E8</v>
      </c>
    </row>
    <row r="97" spans="1:5" x14ac:dyDescent="0.3">
      <c r="A97" s="1">
        <v>22328</v>
      </c>
      <c r="B97" s="1" t="str">
        <f t="shared" si="4"/>
        <v>5738</v>
      </c>
      <c r="C97" t="s">
        <v>1924</v>
      </c>
      <c r="D97" t="s">
        <v>1060</v>
      </c>
      <c r="E97" t="str">
        <f t="shared" si="5"/>
        <v>pUmem_Cmd_HomeStart(30)-&gt;i.user:$5738</v>
      </c>
    </row>
    <row r="98" spans="1:5" x14ac:dyDescent="0.3">
      <c r="A98" s="1">
        <v>22408</v>
      </c>
      <c r="B98" s="1" t="str">
        <f t="shared" si="4"/>
        <v>5788</v>
      </c>
      <c r="C98" t="s">
        <v>1925</v>
      </c>
      <c r="D98" t="s">
        <v>1060</v>
      </c>
      <c r="E98" t="str">
        <f t="shared" si="5"/>
        <v>pUmem_Cmd_HomeStart(31)-&gt;i.user:$5788</v>
      </c>
    </row>
    <row r="99" spans="1:5" x14ac:dyDescent="0.3">
      <c r="A99" s="1">
        <v>22488</v>
      </c>
      <c r="B99" s="1" t="str">
        <f t="shared" si="4"/>
        <v>57D8</v>
      </c>
      <c r="C99" t="s">
        <v>1926</v>
      </c>
      <c r="D99" t="s">
        <v>1060</v>
      </c>
      <c r="E99" t="str">
        <f t="shared" si="5"/>
        <v>pUmem_Cmd_HomeStart(32)-&gt;i.user:$57D8</v>
      </c>
    </row>
    <row r="101" spans="1:5" x14ac:dyDescent="0.3">
      <c r="A101" s="1">
        <v>20012</v>
      </c>
      <c r="B101" s="1" t="str">
        <f>DEC2HEX(A101)</f>
        <v>4E2C</v>
      </c>
      <c r="C101" t="s">
        <v>1512</v>
      </c>
      <c r="D101" t="s">
        <v>1060</v>
      </c>
      <c r="E101" t="str">
        <f>C101&amp;D101&amp;B101</f>
        <v>pUmem_Cmd_HomeStop(01)-&gt;i.user:$4E2C</v>
      </c>
    </row>
    <row r="102" spans="1:5" x14ac:dyDescent="0.3">
      <c r="A102" s="1">
        <v>20092</v>
      </c>
      <c r="B102" s="1" t="str">
        <f t="shared" ref="B102:B132" si="6">DEC2HEX(A102)</f>
        <v>4E7C</v>
      </c>
      <c r="C102" t="s">
        <v>1865</v>
      </c>
      <c r="D102" t="s">
        <v>1060</v>
      </c>
      <c r="E102" t="str">
        <f t="shared" ref="E102:E132" si="7">C102&amp;D102&amp;B102</f>
        <v>pUmem_Cmd_HomeStop(02)-&gt;i.user:$4E7C</v>
      </c>
    </row>
    <row r="103" spans="1:5" x14ac:dyDescent="0.3">
      <c r="A103" s="1">
        <v>20172</v>
      </c>
      <c r="B103" s="1" t="str">
        <f t="shared" si="6"/>
        <v>4ECC</v>
      </c>
      <c r="C103" t="s">
        <v>1866</v>
      </c>
      <c r="D103" t="s">
        <v>1060</v>
      </c>
      <c r="E103" t="str">
        <f t="shared" si="7"/>
        <v>pUmem_Cmd_HomeStop(03)-&gt;i.user:$4ECC</v>
      </c>
    </row>
    <row r="104" spans="1:5" x14ac:dyDescent="0.3">
      <c r="A104" s="1">
        <v>20252</v>
      </c>
      <c r="B104" s="1" t="str">
        <f t="shared" si="6"/>
        <v>4F1C</v>
      </c>
      <c r="C104" t="s">
        <v>1867</v>
      </c>
      <c r="D104" t="s">
        <v>1060</v>
      </c>
      <c r="E104" t="str">
        <f t="shared" si="7"/>
        <v>pUmem_Cmd_HomeStop(04)-&gt;i.user:$4F1C</v>
      </c>
    </row>
    <row r="105" spans="1:5" x14ac:dyDescent="0.3">
      <c r="A105" s="1">
        <v>20332</v>
      </c>
      <c r="B105" s="1" t="str">
        <f t="shared" si="6"/>
        <v>4F6C</v>
      </c>
      <c r="C105" t="s">
        <v>1868</v>
      </c>
      <c r="D105" t="s">
        <v>1060</v>
      </c>
      <c r="E105" t="str">
        <f t="shared" si="7"/>
        <v>pUmem_Cmd_HomeStop(05)-&gt;i.user:$4F6C</v>
      </c>
    </row>
    <row r="106" spans="1:5" x14ac:dyDescent="0.3">
      <c r="A106" s="1">
        <v>20412</v>
      </c>
      <c r="B106" s="1" t="str">
        <f t="shared" si="6"/>
        <v>4FBC</v>
      </c>
      <c r="C106" t="s">
        <v>1869</v>
      </c>
      <c r="D106" t="s">
        <v>1060</v>
      </c>
      <c r="E106" t="str">
        <f t="shared" si="7"/>
        <v>pUmem_Cmd_HomeStop(06)-&gt;i.user:$4FBC</v>
      </c>
    </row>
    <row r="107" spans="1:5" x14ac:dyDescent="0.3">
      <c r="A107" s="1">
        <v>20492</v>
      </c>
      <c r="B107" s="1" t="str">
        <f t="shared" si="6"/>
        <v>500C</v>
      </c>
      <c r="C107" t="s">
        <v>1870</v>
      </c>
      <c r="D107" t="s">
        <v>1060</v>
      </c>
      <c r="E107" t="str">
        <f t="shared" si="7"/>
        <v>pUmem_Cmd_HomeStop(07)-&gt;i.user:$500C</v>
      </c>
    </row>
    <row r="108" spans="1:5" x14ac:dyDescent="0.3">
      <c r="A108" s="1">
        <v>20572</v>
      </c>
      <c r="B108" s="1" t="str">
        <f t="shared" si="6"/>
        <v>505C</v>
      </c>
      <c r="C108" t="s">
        <v>1871</v>
      </c>
      <c r="D108" t="s">
        <v>1060</v>
      </c>
      <c r="E108" t="str">
        <f t="shared" si="7"/>
        <v>pUmem_Cmd_HomeStop(08)-&gt;i.user:$505C</v>
      </c>
    </row>
    <row r="109" spans="1:5" x14ac:dyDescent="0.3">
      <c r="A109" s="1">
        <v>20652</v>
      </c>
      <c r="B109" s="1" t="str">
        <f t="shared" si="6"/>
        <v>50AC</v>
      </c>
      <c r="C109" t="s">
        <v>1872</v>
      </c>
      <c r="D109" t="s">
        <v>1060</v>
      </c>
      <c r="E109" t="str">
        <f t="shared" si="7"/>
        <v>pUmem_Cmd_HomeStop(09)-&gt;i.user:$50AC</v>
      </c>
    </row>
    <row r="110" spans="1:5" x14ac:dyDescent="0.3">
      <c r="A110" s="1">
        <v>20732</v>
      </c>
      <c r="B110" s="1" t="str">
        <f t="shared" si="6"/>
        <v>50FC</v>
      </c>
      <c r="C110" t="s">
        <v>1873</v>
      </c>
      <c r="D110" t="s">
        <v>1060</v>
      </c>
      <c r="E110" t="str">
        <f t="shared" si="7"/>
        <v>pUmem_Cmd_HomeStop(10)-&gt;i.user:$50FC</v>
      </c>
    </row>
    <row r="111" spans="1:5" x14ac:dyDescent="0.3">
      <c r="A111" s="1">
        <v>20812</v>
      </c>
      <c r="B111" s="1" t="str">
        <f t="shared" si="6"/>
        <v>514C</v>
      </c>
      <c r="C111" t="s">
        <v>1874</v>
      </c>
      <c r="D111" t="s">
        <v>1060</v>
      </c>
      <c r="E111" t="str">
        <f t="shared" si="7"/>
        <v>pUmem_Cmd_HomeStop(11)-&gt;i.user:$514C</v>
      </c>
    </row>
    <row r="112" spans="1:5" x14ac:dyDescent="0.3">
      <c r="A112" s="1">
        <v>20892</v>
      </c>
      <c r="B112" s="1" t="str">
        <f t="shared" si="6"/>
        <v>519C</v>
      </c>
      <c r="C112" t="s">
        <v>1875</v>
      </c>
      <c r="D112" t="s">
        <v>1060</v>
      </c>
      <c r="E112" t="str">
        <f t="shared" si="7"/>
        <v>pUmem_Cmd_HomeStop(12)-&gt;i.user:$519C</v>
      </c>
    </row>
    <row r="113" spans="1:5" x14ac:dyDescent="0.3">
      <c r="A113" s="1">
        <v>20972</v>
      </c>
      <c r="B113" s="1" t="str">
        <f t="shared" si="6"/>
        <v>51EC</v>
      </c>
      <c r="C113" t="s">
        <v>1876</v>
      </c>
      <c r="D113" t="s">
        <v>1060</v>
      </c>
      <c r="E113" t="str">
        <f t="shared" si="7"/>
        <v>pUmem_Cmd_HomeStop(13)-&gt;i.user:$51EC</v>
      </c>
    </row>
    <row r="114" spans="1:5" x14ac:dyDescent="0.3">
      <c r="A114" s="1">
        <v>21052</v>
      </c>
      <c r="B114" s="1" t="str">
        <f t="shared" si="6"/>
        <v>523C</v>
      </c>
      <c r="C114" t="s">
        <v>1877</v>
      </c>
      <c r="D114" t="s">
        <v>1060</v>
      </c>
      <c r="E114" t="str">
        <f t="shared" si="7"/>
        <v>pUmem_Cmd_HomeStop(14)-&gt;i.user:$523C</v>
      </c>
    </row>
    <row r="115" spans="1:5" x14ac:dyDescent="0.3">
      <c r="A115" s="1">
        <v>21132</v>
      </c>
      <c r="B115" s="1" t="str">
        <f t="shared" si="6"/>
        <v>528C</v>
      </c>
      <c r="C115" t="s">
        <v>1878</v>
      </c>
      <c r="D115" t="s">
        <v>1060</v>
      </c>
      <c r="E115" t="str">
        <f t="shared" si="7"/>
        <v>pUmem_Cmd_HomeStop(15)-&gt;i.user:$528C</v>
      </c>
    </row>
    <row r="116" spans="1:5" x14ac:dyDescent="0.3">
      <c r="A116" s="1">
        <v>21212</v>
      </c>
      <c r="B116" s="1" t="str">
        <f t="shared" si="6"/>
        <v>52DC</v>
      </c>
      <c r="C116" t="s">
        <v>1879</v>
      </c>
      <c r="D116" t="s">
        <v>1060</v>
      </c>
      <c r="E116" t="str">
        <f t="shared" si="7"/>
        <v>pUmem_Cmd_HomeStop(16)-&gt;i.user:$52DC</v>
      </c>
    </row>
    <row r="117" spans="1:5" x14ac:dyDescent="0.3">
      <c r="A117" s="1">
        <v>21292</v>
      </c>
      <c r="B117" s="1" t="str">
        <f t="shared" si="6"/>
        <v>532C</v>
      </c>
      <c r="C117" t="s">
        <v>1880</v>
      </c>
      <c r="D117" t="s">
        <v>1060</v>
      </c>
      <c r="E117" t="str">
        <f t="shared" si="7"/>
        <v>pUmem_Cmd_HomeStop(17)-&gt;i.user:$532C</v>
      </c>
    </row>
    <row r="118" spans="1:5" x14ac:dyDescent="0.3">
      <c r="A118" s="1">
        <v>21372</v>
      </c>
      <c r="B118" s="1" t="str">
        <f t="shared" si="6"/>
        <v>537C</v>
      </c>
      <c r="C118" t="s">
        <v>1881</v>
      </c>
      <c r="D118" t="s">
        <v>1060</v>
      </c>
      <c r="E118" t="str">
        <f t="shared" si="7"/>
        <v>pUmem_Cmd_HomeStop(18)-&gt;i.user:$537C</v>
      </c>
    </row>
    <row r="119" spans="1:5" x14ac:dyDescent="0.3">
      <c r="A119" s="1">
        <v>21452</v>
      </c>
      <c r="B119" s="1" t="str">
        <f t="shared" si="6"/>
        <v>53CC</v>
      </c>
      <c r="C119" t="s">
        <v>1882</v>
      </c>
      <c r="D119" t="s">
        <v>1060</v>
      </c>
      <c r="E119" t="str">
        <f t="shared" si="7"/>
        <v>pUmem_Cmd_HomeStop(19)-&gt;i.user:$53CC</v>
      </c>
    </row>
    <row r="120" spans="1:5" x14ac:dyDescent="0.3">
      <c r="A120" s="1">
        <v>21532</v>
      </c>
      <c r="B120" s="1" t="str">
        <f t="shared" si="6"/>
        <v>541C</v>
      </c>
      <c r="C120" t="s">
        <v>1883</v>
      </c>
      <c r="D120" t="s">
        <v>1060</v>
      </c>
      <c r="E120" t="str">
        <f t="shared" si="7"/>
        <v>pUmem_Cmd_HomeStop(20)-&gt;i.user:$541C</v>
      </c>
    </row>
    <row r="121" spans="1:5" x14ac:dyDescent="0.3">
      <c r="A121" s="1">
        <v>21612</v>
      </c>
      <c r="B121" s="1" t="str">
        <f t="shared" si="6"/>
        <v>546C</v>
      </c>
      <c r="C121" t="s">
        <v>1884</v>
      </c>
      <c r="D121" t="s">
        <v>1060</v>
      </c>
      <c r="E121" t="str">
        <f t="shared" si="7"/>
        <v>pUmem_Cmd_HomeStop(21)-&gt;i.user:$546C</v>
      </c>
    </row>
    <row r="122" spans="1:5" x14ac:dyDescent="0.3">
      <c r="A122" s="1">
        <v>21692</v>
      </c>
      <c r="B122" s="1" t="str">
        <f t="shared" si="6"/>
        <v>54BC</v>
      </c>
      <c r="C122" t="s">
        <v>1885</v>
      </c>
      <c r="D122" t="s">
        <v>1060</v>
      </c>
      <c r="E122" t="str">
        <f t="shared" si="7"/>
        <v>pUmem_Cmd_HomeStop(22)-&gt;i.user:$54BC</v>
      </c>
    </row>
    <row r="123" spans="1:5" x14ac:dyDescent="0.3">
      <c r="A123" s="1">
        <v>21772</v>
      </c>
      <c r="B123" s="1" t="str">
        <f t="shared" si="6"/>
        <v>550C</v>
      </c>
      <c r="C123" t="s">
        <v>1886</v>
      </c>
      <c r="D123" t="s">
        <v>1060</v>
      </c>
      <c r="E123" t="str">
        <f t="shared" si="7"/>
        <v>pUmem_Cmd_HomeStop(23)-&gt;i.user:$550C</v>
      </c>
    </row>
    <row r="124" spans="1:5" x14ac:dyDescent="0.3">
      <c r="A124" s="1">
        <v>21852</v>
      </c>
      <c r="B124" s="1" t="str">
        <f t="shared" si="6"/>
        <v>555C</v>
      </c>
      <c r="C124" t="s">
        <v>1887</v>
      </c>
      <c r="D124" t="s">
        <v>1060</v>
      </c>
      <c r="E124" t="str">
        <f t="shared" si="7"/>
        <v>pUmem_Cmd_HomeStop(24)-&gt;i.user:$555C</v>
      </c>
    </row>
    <row r="125" spans="1:5" x14ac:dyDescent="0.3">
      <c r="A125" s="1">
        <v>21932</v>
      </c>
      <c r="B125" s="1" t="str">
        <f t="shared" si="6"/>
        <v>55AC</v>
      </c>
      <c r="C125" t="s">
        <v>1888</v>
      </c>
      <c r="D125" t="s">
        <v>1060</v>
      </c>
      <c r="E125" t="str">
        <f t="shared" si="7"/>
        <v>pUmem_Cmd_HomeStop(25)-&gt;i.user:$55AC</v>
      </c>
    </row>
    <row r="126" spans="1:5" x14ac:dyDescent="0.3">
      <c r="A126" s="1">
        <v>22012</v>
      </c>
      <c r="B126" s="1" t="str">
        <f t="shared" si="6"/>
        <v>55FC</v>
      </c>
      <c r="C126" t="s">
        <v>1889</v>
      </c>
      <c r="D126" t="s">
        <v>1060</v>
      </c>
      <c r="E126" t="str">
        <f t="shared" si="7"/>
        <v>pUmem_Cmd_HomeStop(26)-&gt;i.user:$55FC</v>
      </c>
    </row>
    <row r="127" spans="1:5" x14ac:dyDescent="0.3">
      <c r="A127" s="1">
        <v>22092</v>
      </c>
      <c r="B127" s="1" t="str">
        <f t="shared" si="6"/>
        <v>564C</v>
      </c>
      <c r="C127" t="s">
        <v>1890</v>
      </c>
      <c r="D127" t="s">
        <v>1060</v>
      </c>
      <c r="E127" t="str">
        <f t="shared" si="7"/>
        <v>pUmem_Cmd_HomeStop(27)-&gt;i.user:$564C</v>
      </c>
    </row>
    <row r="128" spans="1:5" x14ac:dyDescent="0.3">
      <c r="A128" s="1">
        <v>22172</v>
      </c>
      <c r="B128" s="1" t="str">
        <f t="shared" si="6"/>
        <v>569C</v>
      </c>
      <c r="C128" t="s">
        <v>1891</v>
      </c>
      <c r="D128" t="s">
        <v>1060</v>
      </c>
      <c r="E128" t="str">
        <f t="shared" si="7"/>
        <v>pUmem_Cmd_HomeStop(28)-&gt;i.user:$569C</v>
      </c>
    </row>
    <row r="129" spans="1:5" x14ac:dyDescent="0.3">
      <c r="A129" s="1">
        <v>22252</v>
      </c>
      <c r="B129" s="1" t="str">
        <f t="shared" si="6"/>
        <v>56EC</v>
      </c>
      <c r="C129" t="s">
        <v>1892</v>
      </c>
      <c r="D129" t="s">
        <v>1060</v>
      </c>
      <c r="E129" t="str">
        <f t="shared" si="7"/>
        <v>pUmem_Cmd_HomeStop(29)-&gt;i.user:$56EC</v>
      </c>
    </row>
    <row r="130" spans="1:5" x14ac:dyDescent="0.3">
      <c r="A130" s="1">
        <v>22332</v>
      </c>
      <c r="B130" s="1" t="str">
        <f t="shared" si="6"/>
        <v>573C</v>
      </c>
      <c r="C130" t="s">
        <v>1893</v>
      </c>
      <c r="D130" t="s">
        <v>1060</v>
      </c>
      <c r="E130" t="str">
        <f t="shared" si="7"/>
        <v>pUmem_Cmd_HomeStop(30)-&gt;i.user:$573C</v>
      </c>
    </row>
    <row r="131" spans="1:5" x14ac:dyDescent="0.3">
      <c r="A131" s="1">
        <v>22412</v>
      </c>
      <c r="B131" s="1" t="str">
        <f t="shared" si="6"/>
        <v>578C</v>
      </c>
      <c r="C131" t="s">
        <v>1894</v>
      </c>
      <c r="D131" t="s">
        <v>1060</v>
      </c>
      <c r="E131" t="str">
        <f t="shared" si="7"/>
        <v>pUmem_Cmd_HomeStop(31)-&gt;i.user:$578C</v>
      </c>
    </row>
    <row r="132" spans="1:5" x14ac:dyDescent="0.3">
      <c r="A132" s="1">
        <v>22492</v>
      </c>
      <c r="B132" s="1" t="str">
        <f t="shared" si="6"/>
        <v>57DC</v>
      </c>
      <c r="C132" t="s">
        <v>1895</v>
      </c>
      <c r="D132" t="s">
        <v>1060</v>
      </c>
      <c r="E132" t="str">
        <f t="shared" si="7"/>
        <v>pUmem_Cmd_HomeStop(32)-&gt;i.user:$57DC</v>
      </c>
    </row>
    <row r="134" spans="1:5" x14ac:dyDescent="0.3">
      <c r="A134" s="1">
        <v>20016</v>
      </c>
      <c r="B134" s="1" t="str">
        <f>DEC2HEX(A134)</f>
        <v>4E30</v>
      </c>
      <c r="C134" t="s">
        <v>1513</v>
      </c>
      <c r="D134" t="s">
        <v>1060</v>
      </c>
      <c r="E134" t="str">
        <f>C134&amp;D134&amp;B134</f>
        <v>pUmem_Cmd_HomeOffset(01)-&gt;i.user:$4E30</v>
      </c>
    </row>
    <row r="135" spans="1:5" x14ac:dyDescent="0.3">
      <c r="A135" s="1">
        <v>20096</v>
      </c>
      <c r="B135" s="1" t="str">
        <f t="shared" ref="B135:B165" si="8">DEC2HEX(A135)</f>
        <v>4E80</v>
      </c>
      <c r="C135" t="s">
        <v>1834</v>
      </c>
      <c r="D135" t="s">
        <v>1060</v>
      </c>
      <c r="E135" t="str">
        <f t="shared" ref="E135:E165" si="9">C135&amp;D135&amp;B135</f>
        <v>pUmem_Cmd_HomeOffset(02)-&gt;i.user:$4E80</v>
      </c>
    </row>
    <row r="136" spans="1:5" x14ac:dyDescent="0.3">
      <c r="A136" s="1">
        <v>20176</v>
      </c>
      <c r="B136" s="1" t="str">
        <f t="shared" si="8"/>
        <v>4ED0</v>
      </c>
      <c r="C136" t="s">
        <v>1835</v>
      </c>
      <c r="D136" t="s">
        <v>1060</v>
      </c>
      <c r="E136" t="str">
        <f t="shared" si="9"/>
        <v>pUmem_Cmd_HomeOffset(03)-&gt;i.user:$4ED0</v>
      </c>
    </row>
    <row r="137" spans="1:5" x14ac:dyDescent="0.3">
      <c r="A137" s="1">
        <v>20256</v>
      </c>
      <c r="B137" s="1" t="str">
        <f t="shared" si="8"/>
        <v>4F20</v>
      </c>
      <c r="C137" t="s">
        <v>1836</v>
      </c>
      <c r="D137" t="s">
        <v>1060</v>
      </c>
      <c r="E137" t="str">
        <f t="shared" si="9"/>
        <v>pUmem_Cmd_HomeOffset(04)-&gt;i.user:$4F20</v>
      </c>
    </row>
    <row r="138" spans="1:5" x14ac:dyDescent="0.3">
      <c r="A138" s="1">
        <v>20336</v>
      </c>
      <c r="B138" s="1" t="str">
        <f t="shared" si="8"/>
        <v>4F70</v>
      </c>
      <c r="C138" t="s">
        <v>1837</v>
      </c>
      <c r="D138" t="s">
        <v>1060</v>
      </c>
      <c r="E138" t="str">
        <f t="shared" si="9"/>
        <v>pUmem_Cmd_HomeOffset(05)-&gt;i.user:$4F70</v>
      </c>
    </row>
    <row r="139" spans="1:5" x14ac:dyDescent="0.3">
      <c r="A139" s="1">
        <v>20416</v>
      </c>
      <c r="B139" s="1" t="str">
        <f t="shared" si="8"/>
        <v>4FC0</v>
      </c>
      <c r="C139" t="s">
        <v>1838</v>
      </c>
      <c r="D139" t="s">
        <v>1060</v>
      </c>
      <c r="E139" t="str">
        <f t="shared" si="9"/>
        <v>pUmem_Cmd_HomeOffset(06)-&gt;i.user:$4FC0</v>
      </c>
    </row>
    <row r="140" spans="1:5" x14ac:dyDescent="0.3">
      <c r="A140" s="1">
        <v>20496</v>
      </c>
      <c r="B140" s="1" t="str">
        <f t="shared" si="8"/>
        <v>5010</v>
      </c>
      <c r="C140" t="s">
        <v>1839</v>
      </c>
      <c r="D140" t="s">
        <v>1060</v>
      </c>
      <c r="E140" t="str">
        <f t="shared" si="9"/>
        <v>pUmem_Cmd_HomeOffset(07)-&gt;i.user:$5010</v>
      </c>
    </row>
    <row r="141" spans="1:5" x14ac:dyDescent="0.3">
      <c r="A141" s="1">
        <v>20576</v>
      </c>
      <c r="B141" s="1" t="str">
        <f t="shared" si="8"/>
        <v>5060</v>
      </c>
      <c r="C141" t="s">
        <v>1840</v>
      </c>
      <c r="D141" t="s">
        <v>1060</v>
      </c>
      <c r="E141" t="str">
        <f t="shared" si="9"/>
        <v>pUmem_Cmd_HomeOffset(08)-&gt;i.user:$5060</v>
      </c>
    </row>
    <row r="142" spans="1:5" x14ac:dyDescent="0.3">
      <c r="A142" s="1">
        <v>20656</v>
      </c>
      <c r="B142" s="1" t="str">
        <f t="shared" si="8"/>
        <v>50B0</v>
      </c>
      <c r="C142" t="s">
        <v>1841</v>
      </c>
      <c r="D142" t="s">
        <v>1060</v>
      </c>
      <c r="E142" t="str">
        <f t="shared" si="9"/>
        <v>pUmem_Cmd_HomeOffset(09)-&gt;i.user:$50B0</v>
      </c>
    </row>
    <row r="143" spans="1:5" x14ac:dyDescent="0.3">
      <c r="A143" s="1">
        <v>20736</v>
      </c>
      <c r="B143" s="1" t="str">
        <f t="shared" si="8"/>
        <v>5100</v>
      </c>
      <c r="C143" t="s">
        <v>1842</v>
      </c>
      <c r="D143" t="s">
        <v>1060</v>
      </c>
      <c r="E143" t="str">
        <f t="shared" si="9"/>
        <v>pUmem_Cmd_HomeOffset(10)-&gt;i.user:$5100</v>
      </c>
    </row>
    <row r="144" spans="1:5" x14ac:dyDescent="0.3">
      <c r="A144" s="1">
        <v>20816</v>
      </c>
      <c r="B144" s="1" t="str">
        <f t="shared" si="8"/>
        <v>5150</v>
      </c>
      <c r="C144" t="s">
        <v>1843</v>
      </c>
      <c r="D144" t="s">
        <v>1060</v>
      </c>
      <c r="E144" t="str">
        <f t="shared" si="9"/>
        <v>pUmem_Cmd_HomeOffset(11)-&gt;i.user:$5150</v>
      </c>
    </row>
    <row r="145" spans="1:5" x14ac:dyDescent="0.3">
      <c r="A145" s="1">
        <v>20896</v>
      </c>
      <c r="B145" s="1" t="str">
        <f t="shared" si="8"/>
        <v>51A0</v>
      </c>
      <c r="C145" t="s">
        <v>1844</v>
      </c>
      <c r="D145" t="s">
        <v>1060</v>
      </c>
      <c r="E145" t="str">
        <f t="shared" si="9"/>
        <v>pUmem_Cmd_HomeOffset(12)-&gt;i.user:$51A0</v>
      </c>
    </row>
    <row r="146" spans="1:5" x14ac:dyDescent="0.3">
      <c r="A146" s="1">
        <v>20976</v>
      </c>
      <c r="B146" s="1" t="str">
        <f t="shared" si="8"/>
        <v>51F0</v>
      </c>
      <c r="C146" t="s">
        <v>1845</v>
      </c>
      <c r="D146" t="s">
        <v>1060</v>
      </c>
      <c r="E146" t="str">
        <f t="shared" si="9"/>
        <v>pUmem_Cmd_HomeOffset(13)-&gt;i.user:$51F0</v>
      </c>
    </row>
    <row r="147" spans="1:5" x14ac:dyDescent="0.3">
      <c r="A147" s="1">
        <v>21056</v>
      </c>
      <c r="B147" s="1" t="str">
        <f t="shared" si="8"/>
        <v>5240</v>
      </c>
      <c r="C147" t="s">
        <v>1846</v>
      </c>
      <c r="D147" t="s">
        <v>1060</v>
      </c>
      <c r="E147" t="str">
        <f t="shared" si="9"/>
        <v>pUmem_Cmd_HomeOffset(14)-&gt;i.user:$5240</v>
      </c>
    </row>
    <row r="148" spans="1:5" x14ac:dyDescent="0.3">
      <c r="A148" s="1">
        <v>21136</v>
      </c>
      <c r="B148" s="1" t="str">
        <f t="shared" si="8"/>
        <v>5290</v>
      </c>
      <c r="C148" t="s">
        <v>1847</v>
      </c>
      <c r="D148" t="s">
        <v>1060</v>
      </c>
      <c r="E148" t="str">
        <f t="shared" si="9"/>
        <v>pUmem_Cmd_HomeOffset(15)-&gt;i.user:$5290</v>
      </c>
    </row>
    <row r="149" spans="1:5" x14ac:dyDescent="0.3">
      <c r="A149" s="1">
        <v>21216</v>
      </c>
      <c r="B149" s="1" t="str">
        <f t="shared" si="8"/>
        <v>52E0</v>
      </c>
      <c r="C149" t="s">
        <v>1848</v>
      </c>
      <c r="D149" t="s">
        <v>1060</v>
      </c>
      <c r="E149" t="str">
        <f t="shared" si="9"/>
        <v>pUmem_Cmd_HomeOffset(16)-&gt;i.user:$52E0</v>
      </c>
    </row>
    <row r="150" spans="1:5" x14ac:dyDescent="0.3">
      <c r="A150" s="1">
        <v>21296</v>
      </c>
      <c r="B150" s="1" t="str">
        <f t="shared" si="8"/>
        <v>5330</v>
      </c>
      <c r="C150" t="s">
        <v>1849</v>
      </c>
      <c r="D150" t="s">
        <v>1060</v>
      </c>
      <c r="E150" t="str">
        <f t="shared" si="9"/>
        <v>pUmem_Cmd_HomeOffset(17)-&gt;i.user:$5330</v>
      </c>
    </row>
    <row r="151" spans="1:5" x14ac:dyDescent="0.3">
      <c r="A151" s="1">
        <v>21376</v>
      </c>
      <c r="B151" s="1" t="str">
        <f t="shared" si="8"/>
        <v>5380</v>
      </c>
      <c r="C151" t="s">
        <v>1850</v>
      </c>
      <c r="D151" t="s">
        <v>1060</v>
      </c>
      <c r="E151" t="str">
        <f t="shared" si="9"/>
        <v>pUmem_Cmd_HomeOffset(18)-&gt;i.user:$5380</v>
      </c>
    </row>
    <row r="152" spans="1:5" x14ac:dyDescent="0.3">
      <c r="A152" s="1">
        <v>21456</v>
      </c>
      <c r="B152" s="1" t="str">
        <f t="shared" si="8"/>
        <v>53D0</v>
      </c>
      <c r="C152" t="s">
        <v>1851</v>
      </c>
      <c r="D152" t="s">
        <v>1060</v>
      </c>
      <c r="E152" t="str">
        <f t="shared" si="9"/>
        <v>pUmem_Cmd_HomeOffset(19)-&gt;i.user:$53D0</v>
      </c>
    </row>
    <row r="153" spans="1:5" x14ac:dyDescent="0.3">
      <c r="A153" s="1">
        <v>21536</v>
      </c>
      <c r="B153" s="1" t="str">
        <f t="shared" si="8"/>
        <v>5420</v>
      </c>
      <c r="C153" t="s">
        <v>1852</v>
      </c>
      <c r="D153" t="s">
        <v>1060</v>
      </c>
      <c r="E153" t="str">
        <f t="shared" si="9"/>
        <v>pUmem_Cmd_HomeOffset(20)-&gt;i.user:$5420</v>
      </c>
    </row>
    <row r="154" spans="1:5" x14ac:dyDescent="0.3">
      <c r="A154" s="1">
        <v>21616</v>
      </c>
      <c r="B154" s="1" t="str">
        <f t="shared" si="8"/>
        <v>5470</v>
      </c>
      <c r="C154" t="s">
        <v>1853</v>
      </c>
      <c r="D154" t="s">
        <v>1060</v>
      </c>
      <c r="E154" t="str">
        <f t="shared" si="9"/>
        <v>pUmem_Cmd_HomeOffset(21)-&gt;i.user:$5470</v>
      </c>
    </row>
    <row r="155" spans="1:5" x14ac:dyDescent="0.3">
      <c r="A155" s="1">
        <v>21696</v>
      </c>
      <c r="B155" s="1" t="str">
        <f t="shared" si="8"/>
        <v>54C0</v>
      </c>
      <c r="C155" t="s">
        <v>1854</v>
      </c>
      <c r="D155" t="s">
        <v>1060</v>
      </c>
      <c r="E155" t="str">
        <f t="shared" si="9"/>
        <v>pUmem_Cmd_HomeOffset(22)-&gt;i.user:$54C0</v>
      </c>
    </row>
    <row r="156" spans="1:5" x14ac:dyDescent="0.3">
      <c r="A156" s="1">
        <v>21776</v>
      </c>
      <c r="B156" s="1" t="str">
        <f t="shared" si="8"/>
        <v>5510</v>
      </c>
      <c r="C156" t="s">
        <v>1855</v>
      </c>
      <c r="D156" t="s">
        <v>1060</v>
      </c>
      <c r="E156" t="str">
        <f t="shared" si="9"/>
        <v>pUmem_Cmd_HomeOffset(23)-&gt;i.user:$5510</v>
      </c>
    </row>
    <row r="157" spans="1:5" x14ac:dyDescent="0.3">
      <c r="A157" s="1">
        <v>21856</v>
      </c>
      <c r="B157" s="1" t="str">
        <f t="shared" si="8"/>
        <v>5560</v>
      </c>
      <c r="C157" t="s">
        <v>1856</v>
      </c>
      <c r="D157" t="s">
        <v>1060</v>
      </c>
      <c r="E157" t="str">
        <f t="shared" si="9"/>
        <v>pUmem_Cmd_HomeOffset(24)-&gt;i.user:$5560</v>
      </c>
    </row>
    <row r="158" spans="1:5" x14ac:dyDescent="0.3">
      <c r="A158" s="1">
        <v>21936</v>
      </c>
      <c r="B158" s="1" t="str">
        <f t="shared" si="8"/>
        <v>55B0</v>
      </c>
      <c r="C158" t="s">
        <v>1857</v>
      </c>
      <c r="D158" t="s">
        <v>1060</v>
      </c>
      <c r="E158" t="str">
        <f t="shared" si="9"/>
        <v>pUmem_Cmd_HomeOffset(25)-&gt;i.user:$55B0</v>
      </c>
    </row>
    <row r="159" spans="1:5" x14ac:dyDescent="0.3">
      <c r="A159" s="1">
        <v>22016</v>
      </c>
      <c r="B159" s="1" t="str">
        <f t="shared" si="8"/>
        <v>5600</v>
      </c>
      <c r="C159" t="s">
        <v>1858</v>
      </c>
      <c r="D159" t="s">
        <v>1060</v>
      </c>
      <c r="E159" t="str">
        <f t="shared" si="9"/>
        <v>pUmem_Cmd_HomeOffset(26)-&gt;i.user:$5600</v>
      </c>
    </row>
    <row r="160" spans="1:5" x14ac:dyDescent="0.3">
      <c r="A160" s="1">
        <v>22096</v>
      </c>
      <c r="B160" s="1" t="str">
        <f t="shared" si="8"/>
        <v>5650</v>
      </c>
      <c r="C160" t="s">
        <v>1859</v>
      </c>
      <c r="D160" t="s">
        <v>1060</v>
      </c>
      <c r="E160" t="str">
        <f t="shared" si="9"/>
        <v>pUmem_Cmd_HomeOffset(27)-&gt;i.user:$5650</v>
      </c>
    </row>
    <row r="161" spans="1:5" x14ac:dyDescent="0.3">
      <c r="A161" s="1">
        <v>22176</v>
      </c>
      <c r="B161" s="1" t="str">
        <f t="shared" si="8"/>
        <v>56A0</v>
      </c>
      <c r="C161" t="s">
        <v>1860</v>
      </c>
      <c r="D161" t="s">
        <v>1060</v>
      </c>
      <c r="E161" t="str">
        <f t="shared" si="9"/>
        <v>pUmem_Cmd_HomeOffset(28)-&gt;i.user:$56A0</v>
      </c>
    </row>
    <row r="162" spans="1:5" x14ac:dyDescent="0.3">
      <c r="A162" s="1">
        <v>22256</v>
      </c>
      <c r="B162" s="1" t="str">
        <f t="shared" si="8"/>
        <v>56F0</v>
      </c>
      <c r="C162" t="s">
        <v>1861</v>
      </c>
      <c r="D162" t="s">
        <v>1060</v>
      </c>
      <c r="E162" t="str">
        <f t="shared" si="9"/>
        <v>pUmem_Cmd_HomeOffset(29)-&gt;i.user:$56F0</v>
      </c>
    </row>
    <row r="163" spans="1:5" x14ac:dyDescent="0.3">
      <c r="A163" s="1">
        <v>22336</v>
      </c>
      <c r="B163" s="1" t="str">
        <f t="shared" si="8"/>
        <v>5740</v>
      </c>
      <c r="C163" t="s">
        <v>1862</v>
      </c>
      <c r="D163" t="s">
        <v>1060</v>
      </c>
      <c r="E163" t="str">
        <f t="shared" si="9"/>
        <v>pUmem_Cmd_HomeOffset(30)-&gt;i.user:$5740</v>
      </c>
    </row>
    <row r="164" spans="1:5" x14ac:dyDescent="0.3">
      <c r="A164" s="1">
        <v>22416</v>
      </c>
      <c r="B164" s="1" t="str">
        <f t="shared" si="8"/>
        <v>5790</v>
      </c>
      <c r="C164" t="s">
        <v>1863</v>
      </c>
      <c r="D164" t="s">
        <v>1060</v>
      </c>
      <c r="E164" t="str">
        <f t="shared" si="9"/>
        <v>pUmem_Cmd_HomeOffset(31)-&gt;i.user:$5790</v>
      </c>
    </row>
    <row r="165" spans="1:5" x14ac:dyDescent="0.3">
      <c r="A165" s="1">
        <v>22496</v>
      </c>
      <c r="B165" s="1" t="str">
        <f t="shared" si="8"/>
        <v>57E0</v>
      </c>
      <c r="C165" t="s">
        <v>1864</v>
      </c>
      <c r="D165" t="s">
        <v>1060</v>
      </c>
      <c r="E165" t="str">
        <f t="shared" si="9"/>
        <v>pUmem_Cmd_HomeOffset(32)-&gt;i.user:$57E0</v>
      </c>
    </row>
    <row r="167" spans="1:5" x14ac:dyDescent="0.3">
      <c r="A167" s="1">
        <v>20020</v>
      </c>
      <c r="B167" s="1" t="str">
        <f>DEC2HEX(A167)</f>
        <v>4E34</v>
      </c>
      <c r="C167" t="s">
        <v>1514</v>
      </c>
      <c r="D167" t="s">
        <v>1060</v>
      </c>
      <c r="E167" t="str">
        <f>C167&amp;D167&amp;B167</f>
        <v>pUmem_Cmd_JogStop(01)-&gt;i.user:$4E34</v>
      </c>
    </row>
    <row r="168" spans="1:5" x14ac:dyDescent="0.3">
      <c r="A168" s="1">
        <v>20100</v>
      </c>
      <c r="B168" s="1" t="str">
        <f t="shared" ref="B168:B198" si="10">DEC2HEX(A168)</f>
        <v>4E84</v>
      </c>
      <c r="C168" t="s">
        <v>1803</v>
      </c>
      <c r="D168" t="s">
        <v>1060</v>
      </c>
      <c r="E168" t="str">
        <f t="shared" ref="E168:E198" si="11">C168&amp;D168&amp;B168</f>
        <v>pUmem_Cmd_JogStop(02)-&gt;i.user:$4E84</v>
      </c>
    </row>
    <row r="169" spans="1:5" x14ac:dyDescent="0.3">
      <c r="A169" s="1">
        <v>20180</v>
      </c>
      <c r="B169" s="1" t="str">
        <f t="shared" si="10"/>
        <v>4ED4</v>
      </c>
      <c r="C169" t="s">
        <v>1804</v>
      </c>
      <c r="D169" t="s">
        <v>1060</v>
      </c>
      <c r="E169" t="str">
        <f t="shared" si="11"/>
        <v>pUmem_Cmd_JogStop(03)-&gt;i.user:$4ED4</v>
      </c>
    </row>
    <row r="170" spans="1:5" x14ac:dyDescent="0.3">
      <c r="A170" s="1">
        <v>20260</v>
      </c>
      <c r="B170" s="1" t="str">
        <f t="shared" si="10"/>
        <v>4F24</v>
      </c>
      <c r="C170" t="s">
        <v>1805</v>
      </c>
      <c r="D170" t="s">
        <v>1060</v>
      </c>
      <c r="E170" t="str">
        <f t="shared" si="11"/>
        <v>pUmem_Cmd_JogStop(04)-&gt;i.user:$4F24</v>
      </c>
    </row>
    <row r="171" spans="1:5" x14ac:dyDescent="0.3">
      <c r="A171" s="1">
        <v>20340</v>
      </c>
      <c r="B171" s="1" t="str">
        <f t="shared" si="10"/>
        <v>4F74</v>
      </c>
      <c r="C171" t="s">
        <v>1806</v>
      </c>
      <c r="D171" t="s">
        <v>1060</v>
      </c>
      <c r="E171" t="str">
        <f t="shared" si="11"/>
        <v>pUmem_Cmd_JogStop(05)-&gt;i.user:$4F74</v>
      </c>
    </row>
    <row r="172" spans="1:5" x14ac:dyDescent="0.3">
      <c r="A172" s="1">
        <v>20420</v>
      </c>
      <c r="B172" s="1" t="str">
        <f t="shared" si="10"/>
        <v>4FC4</v>
      </c>
      <c r="C172" t="s">
        <v>1807</v>
      </c>
      <c r="D172" t="s">
        <v>1060</v>
      </c>
      <c r="E172" t="str">
        <f t="shared" si="11"/>
        <v>pUmem_Cmd_JogStop(06)-&gt;i.user:$4FC4</v>
      </c>
    </row>
    <row r="173" spans="1:5" x14ac:dyDescent="0.3">
      <c r="A173" s="1">
        <v>20500</v>
      </c>
      <c r="B173" s="1" t="str">
        <f t="shared" si="10"/>
        <v>5014</v>
      </c>
      <c r="C173" t="s">
        <v>1808</v>
      </c>
      <c r="D173" t="s">
        <v>1060</v>
      </c>
      <c r="E173" t="str">
        <f t="shared" si="11"/>
        <v>pUmem_Cmd_JogStop(07)-&gt;i.user:$5014</v>
      </c>
    </row>
    <row r="174" spans="1:5" x14ac:dyDescent="0.3">
      <c r="A174" s="1">
        <v>20580</v>
      </c>
      <c r="B174" s="1" t="str">
        <f t="shared" si="10"/>
        <v>5064</v>
      </c>
      <c r="C174" t="s">
        <v>1809</v>
      </c>
      <c r="D174" t="s">
        <v>1060</v>
      </c>
      <c r="E174" t="str">
        <f t="shared" si="11"/>
        <v>pUmem_Cmd_JogStop(08)-&gt;i.user:$5064</v>
      </c>
    </row>
    <row r="175" spans="1:5" x14ac:dyDescent="0.3">
      <c r="A175" s="1">
        <v>20660</v>
      </c>
      <c r="B175" s="1" t="str">
        <f t="shared" si="10"/>
        <v>50B4</v>
      </c>
      <c r="C175" t="s">
        <v>1810</v>
      </c>
      <c r="D175" t="s">
        <v>1060</v>
      </c>
      <c r="E175" t="str">
        <f t="shared" si="11"/>
        <v>pUmem_Cmd_JogStop(09)-&gt;i.user:$50B4</v>
      </c>
    </row>
    <row r="176" spans="1:5" x14ac:dyDescent="0.3">
      <c r="A176" s="1">
        <v>20740</v>
      </c>
      <c r="B176" s="1" t="str">
        <f t="shared" si="10"/>
        <v>5104</v>
      </c>
      <c r="C176" t="s">
        <v>1811</v>
      </c>
      <c r="D176" t="s">
        <v>1060</v>
      </c>
      <c r="E176" t="str">
        <f t="shared" si="11"/>
        <v>pUmem_Cmd_JogStop(10)-&gt;i.user:$5104</v>
      </c>
    </row>
    <row r="177" spans="1:5" x14ac:dyDescent="0.3">
      <c r="A177" s="1">
        <v>20820</v>
      </c>
      <c r="B177" s="1" t="str">
        <f t="shared" si="10"/>
        <v>5154</v>
      </c>
      <c r="C177" t="s">
        <v>1812</v>
      </c>
      <c r="D177" t="s">
        <v>1060</v>
      </c>
      <c r="E177" t="str">
        <f t="shared" si="11"/>
        <v>pUmem_Cmd_JogStop(11)-&gt;i.user:$5154</v>
      </c>
    </row>
    <row r="178" spans="1:5" x14ac:dyDescent="0.3">
      <c r="A178" s="1">
        <v>20900</v>
      </c>
      <c r="B178" s="1" t="str">
        <f t="shared" si="10"/>
        <v>51A4</v>
      </c>
      <c r="C178" t="s">
        <v>1813</v>
      </c>
      <c r="D178" t="s">
        <v>1060</v>
      </c>
      <c r="E178" t="str">
        <f t="shared" si="11"/>
        <v>pUmem_Cmd_JogStop(12)-&gt;i.user:$51A4</v>
      </c>
    </row>
    <row r="179" spans="1:5" x14ac:dyDescent="0.3">
      <c r="A179" s="1">
        <v>20980</v>
      </c>
      <c r="B179" s="1" t="str">
        <f t="shared" si="10"/>
        <v>51F4</v>
      </c>
      <c r="C179" t="s">
        <v>1814</v>
      </c>
      <c r="D179" t="s">
        <v>1060</v>
      </c>
      <c r="E179" t="str">
        <f t="shared" si="11"/>
        <v>pUmem_Cmd_JogStop(13)-&gt;i.user:$51F4</v>
      </c>
    </row>
    <row r="180" spans="1:5" x14ac:dyDescent="0.3">
      <c r="A180" s="1">
        <v>21060</v>
      </c>
      <c r="B180" s="1" t="str">
        <f t="shared" si="10"/>
        <v>5244</v>
      </c>
      <c r="C180" t="s">
        <v>1815</v>
      </c>
      <c r="D180" t="s">
        <v>1060</v>
      </c>
      <c r="E180" t="str">
        <f t="shared" si="11"/>
        <v>pUmem_Cmd_JogStop(14)-&gt;i.user:$5244</v>
      </c>
    </row>
    <row r="181" spans="1:5" x14ac:dyDescent="0.3">
      <c r="A181" s="1">
        <v>21140</v>
      </c>
      <c r="B181" s="1" t="str">
        <f t="shared" si="10"/>
        <v>5294</v>
      </c>
      <c r="C181" t="s">
        <v>1816</v>
      </c>
      <c r="D181" t="s">
        <v>1060</v>
      </c>
      <c r="E181" t="str">
        <f t="shared" si="11"/>
        <v>pUmem_Cmd_JogStop(15)-&gt;i.user:$5294</v>
      </c>
    </row>
    <row r="182" spans="1:5" x14ac:dyDescent="0.3">
      <c r="A182" s="1">
        <v>21220</v>
      </c>
      <c r="B182" s="1" t="str">
        <f t="shared" si="10"/>
        <v>52E4</v>
      </c>
      <c r="C182" t="s">
        <v>1817</v>
      </c>
      <c r="D182" t="s">
        <v>1060</v>
      </c>
      <c r="E182" t="str">
        <f t="shared" si="11"/>
        <v>pUmem_Cmd_JogStop(16)-&gt;i.user:$52E4</v>
      </c>
    </row>
    <row r="183" spans="1:5" x14ac:dyDescent="0.3">
      <c r="A183" s="1">
        <v>21300</v>
      </c>
      <c r="B183" s="1" t="str">
        <f t="shared" si="10"/>
        <v>5334</v>
      </c>
      <c r="C183" t="s">
        <v>1818</v>
      </c>
      <c r="D183" t="s">
        <v>1060</v>
      </c>
      <c r="E183" t="str">
        <f t="shared" si="11"/>
        <v>pUmem_Cmd_JogStop(17)-&gt;i.user:$5334</v>
      </c>
    </row>
    <row r="184" spans="1:5" x14ac:dyDescent="0.3">
      <c r="A184" s="1">
        <v>21380</v>
      </c>
      <c r="B184" s="1" t="str">
        <f t="shared" si="10"/>
        <v>5384</v>
      </c>
      <c r="C184" t="s">
        <v>1819</v>
      </c>
      <c r="D184" t="s">
        <v>1060</v>
      </c>
      <c r="E184" t="str">
        <f t="shared" si="11"/>
        <v>pUmem_Cmd_JogStop(18)-&gt;i.user:$5384</v>
      </c>
    </row>
    <row r="185" spans="1:5" x14ac:dyDescent="0.3">
      <c r="A185" s="1">
        <v>21460</v>
      </c>
      <c r="B185" s="1" t="str">
        <f t="shared" si="10"/>
        <v>53D4</v>
      </c>
      <c r="C185" t="s">
        <v>1820</v>
      </c>
      <c r="D185" t="s">
        <v>1060</v>
      </c>
      <c r="E185" t="str">
        <f t="shared" si="11"/>
        <v>pUmem_Cmd_JogStop(19)-&gt;i.user:$53D4</v>
      </c>
    </row>
    <row r="186" spans="1:5" x14ac:dyDescent="0.3">
      <c r="A186" s="1">
        <v>21540</v>
      </c>
      <c r="B186" s="1" t="str">
        <f t="shared" si="10"/>
        <v>5424</v>
      </c>
      <c r="C186" t="s">
        <v>1821</v>
      </c>
      <c r="D186" t="s">
        <v>1060</v>
      </c>
      <c r="E186" t="str">
        <f t="shared" si="11"/>
        <v>pUmem_Cmd_JogStop(20)-&gt;i.user:$5424</v>
      </c>
    </row>
    <row r="187" spans="1:5" x14ac:dyDescent="0.3">
      <c r="A187" s="1">
        <v>21620</v>
      </c>
      <c r="B187" s="1" t="str">
        <f t="shared" si="10"/>
        <v>5474</v>
      </c>
      <c r="C187" t="s">
        <v>1822</v>
      </c>
      <c r="D187" t="s">
        <v>1060</v>
      </c>
      <c r="E187" t="str">
        <f t="shared" si="11"/>
        <v>pUmem_Cmd_JogStop(21)-&gt;i.user:$5474</v>
      </c>
    </row>
    <row r="188" spans="1:5" x14ac:dyDescent="0.3">
      <c r="A188" s="1">
        <v>21700</v>
      </c>
      <c r="B188" s="1" t="str">
        <f t="shared" si="10"/>
        <v>54C4</v>
      </c>
      <c r="C188" t="s">
        <v>1823</v>
      </c>
      <c r="D188" t="s">
        <v>1060</v>
      </c>
      <c r="E188" t="str">
        <f t="shared" si="11"/>
        <v>pUmem_Cmd_JogStop(22)-&gt;i.user:$54C4</v>
      </c>
    </row>
    <row r="189" spans="1:5" x14ac:dyDescent="0.3">
      <c r="A189" s="1">
        <v>21780</v>
      </c>
      <c r="B189" s="1" t="str">
        <f t="shared" si="10"/>
        <v>5514</v>
      </c>
      <c r="C189" t="s">
        <v>1824</v>
      </c>
      <c r="D189" t="s">
        <v>1060</v>
      </c>
      <c r="E189" t="str">
        <f t="shared" si="11"/>
        <v>pUmem_Cmd_JogStop(23)-&gt;i.user:$5514</v>
      </c>
    </row>
    <row r="190" spans="1:5" x14ac:dyDescent="0.3">
      <c r="A190" s="1">
        <v>21860</v>
      </c>
      <c r="B190" s="1" t="str">
        <f t="shared" si="10"/>
        <v>5564</v>
      </c>
      <c r="C190" t="s">
        <v>1825</v>
      </c>
      <c r="D190" t="s">
        <v>1060</v>
      </c>
      <c r="E190" t="str">
        <f t="shared" si="11"/>
        <v>pUmem_Cmd_JogStop(24)-&gt;i.user:$5564</v>
      </c>
    </row>
    <row r="191" spans="1:5" x14ac:dyDescent="0.3">
      <c r="A191" s="1">
        <v>21940</v>
      </c>
      <c r="B191" s="1" t="str">
        <f t="shared" si="10"/>
        <v>55B4</v>
      </c>
      <c r="C191" t="s">
        <v>1826</v>
      </c>
      <c r="D191" t="s">
        <v>1060</v>
      </c>
      <c r="E191" t="str">
        <f t="shared" si="11"/>
        <v>pUmem_Cmd_JogStop(25)-&gt;i.user:$55B4</v>
      </c>
    </row>
    <row r="192" spans="1:5" x14ac:dyDescent="0.3">
      <c r="A192" s="1">
        <v>22020</v>
      </c>
      <c r="B192" s="1" t="str">
        <f t="shared" si="10"/>
        <v>5604</v>
      </c>
      <c r="C192" t="s">
        <v>1827</v>
      </c>
      <c r="D192" t="s">
        <v>1060</v>
      </c>
      <c r="E192" t="str">
        <f t="shared" si="11"/>
        <v>pUmem_Cmd_JogStop(26)-&gt;i.user:$5604</v>
      </c>
    </row>
    <row r="193" spans="1:5" x14ac:dyDescent="0.3">
      <c r="A193" s="1">
        <v>22100</v>
      </c>
      <c r="B193" s="1" t="str">
        <f t="shared" si="10"/>
        <v>5654</v>
      </c>
      <c r="C193" t="s">
        <v>1828</v>
      </c>
      <c r="D193" t="s">
        <v>1060</v>
      </c>
      <c r="E193" t="str">
        <f t="shared" si="11"/>
        <v>pUmem_Cmd_JogStop(27)-&gt;i.user:$5654</v>
      </c>
    </row>
    <row r="194" spans="1:5" x14ac:dyDescent="0.3">
      <c r="A194" s="1">
        <v>22180</v>
      </c>
      <c r="B194" s="1" t="str">
        <f t="shared" si="10"/>
        <v>56A4</v>
      </c>
      <c r="C194" t="s">
        <v>1829</v>
      </c>
      <c r="D194" t="s">
        <v>1060</v>
      </c>
      <c r="E194" t="str">
        <f t="shared" si="11"/>
        <v>pUmem_Cmd_JogStop(28)-&gt;i.user:$56A4</v>
      </c>
    </row>
    <row r="195" spans="1:5" x14ac:dyDescent="0.3">
      <c r="A195" s="1">
        <v>22260</v>
      </c>
      <c r="B195" s="1" t="str">
        <f t="shared" si="10"/>
        <v>56F4</v>
      </c>
      <c r="C195" t="s">
        <v>1830</v>
      </c>
      <c r="D195" t="s">
        <v>1060</v>
      </c>
      <c r="E195" t="str">
        <f t="shared" si="11"/>
        <v>pUmem_Cmd_JogStop(29)-&gt;i.user:$56F4</v>
      </c>
    </row>
    <row r="196" spans="1:5" x14ac:dyDescent="0.3">
      <c r="A196" s="1">
        <v>22340</v>
      </c>
      <c r="B196" s="1" t="str">
        <f t="shared" si="10"/>
        <v>5744</v>
      </c>
      <c r="C196" t="s">
        <v>1831</v>
      </c>
      <c r="D196" t="s">
        <v>1060</v>
      </c>
      <c r="E196" t="str">
        <f t="shared" si="11"/>
        <v>pUmem_Cmd_JogStop(30)-&gt;i.user:$5744</v>
      </c>
    </row>
    <row r="197" spans="1:5" x14ac:dyDescent="0.3">
      <c r="A197" s="1">
        <v>22420</v>
      </c>
      <c r="B197" s="1" t="str">
        <f t="shared" si="10"/>
        <v>5794</v>
      </c>
      <c r="C197" t="s">
        <v>1832</v>
      </c>
      <c r="D197" t="s">
        <v>1060</v>
      </c>
      <c r="E197" t="str">
        <f t="shared" si="11"/>
        <v>pUmem_Cmd_JogStop(31)-&gt;i.user:$5794</v>
      </c>
    </row>
    <row r="198" spans="1:5" x14ac:dyDescent="0.3">
      <c r="A198" s="1">
        <v>22500</v>
      </c>
      <c r="B198" s="1" t="str">
        <f t="shared" si="10"/>
        <v>57E4</v>
      </c>
      <c r="C198" t="s">
        <v>1833</v>
      </c>
      <c r="D198" t="s">
        <v>1060</v>
      </c>
      <c r="E198" t="str">
        <f t="shared" si="11"/>
        <v>pUmem_Cmd_JogStop(32)-&gt;i.user:$57E4</v>
      </c>
    </row>
    <row r="200" spans="1:5" x14ac:dyDescent="0.3">
      <c r="A200" s="1">
        <v>20024</v>
      </c>
      <c r="B200" s="1" t="str">
        <f>DEC2HEX(A200)</f>
        <v>4E38</v>
      </c>
      <c r="C200" t="s">
        <v>1515</v>
      </c>
      <c r="D200" t="s">
        <v>1060</v>
      </c>
      <c r="E200" t="str">
        <f>C200&amp;D200&amp;B200</f>
        <v>pUmem_Cmd_JogContPlus(01)-&gt;i.user:$4E38</v>
      </c>
    </row>
    <row r="201" spans="1:5" x14ac:dyDescent="0.3">
      <c r="A201" s="1">
        <v>20104</v>
      </c>
      <c r="B201" s="1" t="str">
        <f t="shared" ref="B201:B231" si="12">DEC2HEX(A201)</f>
        <v>4E88</v>
      </c>
      <c r="C201" t="s">
        <v>1772</v>
      </c>
      <c r="D201" t="s">
        <v>1060</v>
      </c>
      <c r="E201" t="str">
        <f t="shared" ref="E201:E231" si="13">C201&amp;D201&amp;B201</f>
        <v>pUmem_Cmd_JogContPlus(02)-&gt;i.user:$4E88</v>
      </c>
    </row>
    <row r="202" spans="1:5" x14ac:dyDescent="0.3">
      <c r="A202" s="1">
        <v>20184</v>
      </c>
      <c r="B202" s="1" t="str">
        <f t="shared" si="12"/>
        <v>4ED8</v>
      </c>
      <c r="C202" t="s">
        <v>1773</v>
      </c>
      <c r="D202" t="s">
        <v>1060</v>
      </c>
      <c r="E202" t="str">
        <f t="shared" si="13"/>
        <v>pUmem_Cmd_JogContPlus(03)-&gt;i.user:$4ED8</v>
      </c>
    </row>
    <row r="203" spans="1:5" x14ac:dyDescent="0.3">
      <c r="A203" s="1">
        <v>20264</v>
      </c>
      <c r="B203" s="1" t="str">
        <f t="shared" si="12"/>
        <v>4F28</v>
      </c>
      <c r="C203" t="s">
        <v>1774</v>
      </c>
      <c r="D203" t="s">
        <v>1060</v>
      </c>
      <c r="E203" t="str">
        <f t="shared" si="13"/>
        <v>pUmem_Cmd_JogContPlus(04)-&gt;i.user:$4F28</v>
      </c>
    </row>
    <row r="204" spans="1:5" x14ac:dyDescent="0.3">
      <c r="A204" s="1">
        <v>20344</v>
      </c>
      <c r="B204" s="1" t="str">
        <f t="shared" si="12"/>
        <v>4F78</v>
      </c>
      <c r="C204" t="s">
        <v>1775</v>
      </c>
      <c r="D204" t="s">
        <v>1060</v>
      </c>
      <c r="E204" t="str">
        <f t="shared" si="13"/>
        <v>pUmem_Cmd_JogContPlus(05)-&gt;i.user:$4F78</v>
      </c>
    </row>
    <row r="205" spans="1:5" x14ac:dyDescent="0.3">
      <c r="A205" s="1">
        <v>20424</v>
      </c>
      <c r="B205" s="1" t="str">
        <f t="shared" si="12"/>
        <v>4FC8</v>
      </c>
      <c r="C205" t="s">
        <v>1776</v>
      </c>
      <c r="D205" t="s">
        <v>1060</v>
      </c>
      <c r="E205" t="str">
        <f t="shared" si="13"/>
        <v>pUmem_Cmd_JogContPlus(06)-&gt;i.user:$4FC8</v>
      </c>
    </row>
    <row r="206" spans="1:5" x14ac:dyDescent="0.3">
      <c r="A206" s="1">
        <v>20504</v>
      </c>
      <c r="B206" s="1" t="str">
        <f t="shared" si="12"/>
        <v>5018</v>
      </c>
      <c r="C206" t="s">
        <v>1777</v>
      </c>
      <c r="D206" t="s">
        <v>1060</v>
      </c>
      <c r="E206" t="str">
        <f t="shared" si="13"/>
        <v>pUmem_Cmd_JogContPlus(07)-&gt;i.user:$5018</v>
      </c>
    </row>
    <row r="207" spans="1:5" x14ac:dyDescent="0.3">
      <c r="A207" s="1">
        <v>20584</v>
      </c>
      <c r="B207" s="1" t="str">
        <f t="shared" si="12"/>
        <v>5068</v>
      </c>
      <c r="C207" t="s">
        <v>1778</v>
      </c>
      <c r="D207" t="s">
        <v>1060</v>
      </c>
      <c r="E207" t="str">
        <f t="shared" si="13"/>
        <v>pUmem_Cmd_JogContPlus(08)-&gt;i.user:$5068</v>
      </c>
    </row>
    <row r="208" spans="1:5" x14ac:dyDescent="0.3">
      <c r="A208" s="1">
        <v>20664</v>
      </c>
      <c r="B208" s="1" t="str">
        <f t="shared" si="12"/>
        <v>50B8</v>
      </c>
      <c r="C208" t="s">
        <v>1779</v>
      </c>
      <c r="D208" t="s">
        <v>1060</v>
      </c>
      <c r="E208" t="str">
        <f t="shared" si="13"/>
        <v>pUmem_Cmd_JogContPlus(09)-&gt;i.user:$50B8</v>
      </c>
    </row>
    <row r="209" spans="1:5" x14ac:dyDescent="0.3">
      <c r="A209" s="1">
        <v>20744</v>
      </c>
      <c r="B209" s="1" t="str">
        <f t="shared" si="12"/>
        <v>5108</v>
      </c>
      <c r="C209" t="s">
        <v>1780</v>
      </c>
      <c r="D209" t="s">
        <v>1060</v>
      </c>
      <c r="E209" t="str">
        <f t="shared" si="13"/>
        <v>pUmem_Cmd_JogContPlus(10)-&gt;i.user:$5108</v>
      </c>
    </row>
    <row r="210" spans="1:5" x14ac:dyDescent="0.3">
      <c r="A210" s="1">
        <v>20824</v>
      </c>
      <c r="B210" s="1" t="str">
        <f t="shared" si="12"/>
        <v>5158</v>
      </c>
      <c r="C210" t="s">
        <v>1781</v>
      </c>
      <c r="D210" t="s">
        <v>1060</v>
      </c>
      <c r="E210" t="str">
        <f t="shared" si="13"/>
        <v>pUmem_Cmd_JogContPlus(11)-&gt;i.user:$5158</v>
      </c>
    </row>
    <row r="211" spans="1:5" x14ac:dyDescent="0.3">
      <c r="A211" s="1">
        <v>20904</v>
      </c>
      <c r="B211" s="1" t="str">
        <f t="shared" si="12"/>
        <v>51A8</v>
      </c>
      <c r="C211" t="s">
        <v>1782</v>
      </c>
      <c r="D211" t="s">
        <v>1060</v>
      </c>
      <c r="E211" t="str">
        <f t="shared" si="13"/>
        <v>pUmem_Cmd_JogContPlus(12)-&gt;i.user:$51A8</v>
      </c>
    </row>
    <row r="212" spans="1:5" x14ac:dyDescent="0.3">
      <c r="A212" s="1">
        <v>20984</v>
      </c>
      <c r="B212" s="1" t="str">
        <f t="shared" si="12"/>
        <v>51F8</v>
      </c>
      <c r="C212" t="s">
        <v>1783</v>
      </c>
      <c r="D212" t="s">
        <v>1060</v>
      </c>
      <c r="E212" t="str">
        <f t="shared" si="13"/>
        <v>pUmem_Cmd_JogContPlus(13)-&gt;i.user:$51F8</v>
      </c>
    </row>
    <row r="213" spans="1:5" x14ac:dyDescent="0.3">
      <c r="A213" s="1">
        <v>21064</v>
      </c>
      <c r="B213" s="1" t="str">
        <f t="shared" si="12"/>
        <v>5248</v>
      </c>
      <c r="C213" t="s">
        <v>1784</v>
      </c>
      <c r="D213" t="s">
        <v>1060</v>
      </c>
      <c r="E213" t="str">
        <f t="shared" si="13"/>
        <v>pUmem_Cmd_JogContPlus(14)-&gt;i.user:$5248</v>
      </c>
    </row>
    <row r="214" spans="1:5" x14ac:dyDescent="0.3">
      <c r="A214" s="1">
        <v>21144</v>
      </c>
      <c r="B214" s="1" t="str">
        <f t="shared" si="12"/>
        <v>5298</v>
      </c>
      <c r="C214" t="s">
        <v>1785</v>
      </c>
      <c r="D214" t="s">
        <v>1060</v>
      </c>
      <c r="E214" t="str">
        <f t="shared" si="13"/>
        <v>pUmem_Cmd_JogContPlus(15)-&gt;i.user:$5298</v>
      </c>
    </row>
    <row r="215" spans="1:5" x14ac:dyDescent="0.3">
      <c r="A215" s="1">
        <v>21224</v>
      </c>
      <c r="B215" s="1" t="str">
        <f t="shared" si="12"/>
        <v>52E8</v>
      </c>
      <c r="C215" t="s">
        <v>1786</v>
      </c>
      <c r="D215" t="s">
        <v>1060</v>
      </c>
      <c r="E215" t="str">
        <f t="shared" si="13"/>
        <v>pUmem_Cmd_JogContPlus(16)-&gt;i.user:$52E8</v>
      </c>
    </row>
    <row r="216" spans="1:5" x14ac:dyDescent="0.3">
      <c r="A216" s="1">
        <v>21304</v>
      </c>
      <c r="B216" s="1" t="str">
        <f t="shared" si="12"/>
        <v>5338</v>
      </c>
      <c r="C216" t="s">
        <v>1787</v>
      </c>
      <c r="D216" t="s">
        <v>1060</v>
      </c>
      <c r="E216" t="str">
        <f t="shared" si="13"/>
        <v>pUmem_Cmd_JogContPlus(17)-&gt;i.user:$5338</v>
      </c>
    </row>
    <row r="217" spans="1:5" x14ac:dyDescent="0.3">
      <c r="A217" s="1">
        <v>21384</v>
      </c>
      <c r="B217" s="1" t="str">
        <f t="shared" si="12"/>
        <v>5388</v>
      </c>
      <c r="C217" t="s">
        <v>1788</v>
      </c>
      <c r="D217" t="s">
        <v>1060</v>
      </c>
      <c r="E217" t="str">
        <f t="shared" si="13"/>
        <v>pUmem_Cmd_JogContPlus(18)-&gt;i.user:$5388</v>
      </c>
    </row>
    <row r="218" spans="1:5" x14ac:dyDescent="0.3">
      <c r="A218" s="1">
        <v>21464</v>
      </c>
      <c r="B218" s="1" t="str">
        <f t="shared" si="12"/>
        <v>53D8</v>
      </c>
      <c r="C218" t="s">
        <v>1789</v>
      </c>
      <c r="D218" t="s">
        <v>1060</v>
      </c>
      <c r="E218" t="str">
        <f t="shared" si="13"/>
        <v>pUmem_Cmd_JogContPlus(19)-&gt;i.user:$53D8</v>
      </c>
    </row>
    <row r="219" spans="1:5" x14ac:dyDescent="0.3">
      <c r="A219" s="1">
        <v>21544</v>
      </c>
      <c r="B219" s="1" t="str">
        <f t="shared" si="12"/>
        <v>5428</v>
      </c>
      <c r="C219" t="s">
        <v>1790</v>
      </c>
      <c r="D219" t="s">
        <v>1060</v>
      </c>
      <c r="E219" t="str">
        <f t="shared" si="13"/>
        <v>pUmem_Cmd_JogContPlus(20)-&gt;i.user:$5428</v>
      </c>
    </row>
    <row r="220" spans="1:5" x14ac:dyDescent="0.3">
      <c r="A220" s="1">
        <v>21624</v>
      </c>
      <c r="B220" s="1" t="str">
        <f t="shared" si="12"/>
        <v>5478</v>
      </c>
      <c r="C220" t="s">
        <v>1791</v>
      </c>
      <c r="D220" t="s">
        <v>1060</v>
      </c>
      <c r="E220" t="str">
        <f t="shared" si="13"/>
        <v>pUmem_Cmd_JogContPlus(21)-&gt;i.user:$5478</v>
      </c>
    </row>
    <row r="221" spans="1:5" x14ac:dyDescent="0.3">
      <c r="A221" s="1">
        <v>21704</v>
      </c>
      <c r="B221" s="1" t="str">
        <f t="shared" si="12"/>
        <v>54C8</v>
      </c>
      <c r="C221" t="s">
        <v>1792</v>
      </c>
      <c r="D221" t="s">
        <v>1060</v>
      </c>
      <c r="E221" t="str">
        <f t="shared" si="13"/>
        <v>pUmem_Cmd_JogContPlus(22)-&gt;i.user:$54C8</v>
      </c>
    </row>
    <row r="222" spans="1:5" x14ac:dyDescent="0.3">
      <c r="A222" s="1">
        <v>21784</v>
      </c>
      <c r="B222" s="1" t="str">
        <f t="shared" si="12"/>
        <v>5518</v>
      </c>
      <c r="C222" t="s">
        <v>1793</v>
      </c>
      <c r="D222" t="s">
        <v>1060</v>
      </c>
      <c r="E222" t="str">
        <f t="shared" si="13"/>
        <v>pUmem_Cmd_JogContPlus(23)-&gt;i.user:$5518</v>
      </c>
    </row>
    <row r="223" spans="1:5" x14ac:dyDescent="0.3">
      <c r="A223" s="1">
        <v>21864</v>
      </c>
      <c r="B223" s="1" t="str">
        <f t="shared" si="12"/>
        <v>5568</v>
      </c>
      <c r="C223" t="s">
        <v>1794</v>
      </c>
      <c r="D223" t="s">
        <v>1060</v>
      </c>
      <c r="E223" t="str">
        <f t="shared" si="13"/>
        <v>pUmem_Cmd_JogContPlus(24)-&gt;i.user:$5568</v>
      </c>
    </row>
    <row r="224" spans="1:5" x14ac:dyDescent="0.3">
      <c r="A224" s="1">
        <v>21944</v>
      </c>
      <c r="B224" s="1" t="str">
        <f t="shared" si="12"/>
        <v>55B8</v>
      </c>
      <c r="C224" t="s">
        <v>1795</v>
      </c>
      <c r="D224" t="s">
        <v>1060</v>
      </c>
      <c r="E224" t="str">
        <f t="shared" si="13"/>
        <v>pUmem_Cmd_JogContPlus(25)-&gt;i.user:$55B8</v>
      </c>
    </row>
    <row r="225" spans="1:5" x14ac:dyDescent="0.3">
      <c r="A225" s="1">
        <v>22024</v>
      </c>
      <c r="B225" s="1" t="str">
        <f t="shared" si="12"/>
        <v>5608</v>
      </c>
      <c r="C225" t="s">
        <v>1796</v>
      </c>
      <c r="D225" t="s">
        <v>1060</v>
      </c>
      <c r="E225" t="str">
        <f t="shared" si="13"/>
        <v>pUmem_Cmd_JogContPlus(26)-&gt;i.user:$5608</v>
      </c>
    </row>
    <row r="226" spans="1:5" x14ac:dyDescent="0.3">
      <c r="A226" s="1">
        <v>22104</v>
      </c>
      <c r="B226" s="1" t="str">
        <f t="shared" si="12"/>
        <v>5658</v>
      </c>
      <c r="C226" t="s">
        <v>1797</v>
      </c>
      <c r="D226" t="s">
        <v>1060</v>
      </c>
      <c r="E226" t="str">
        <f t="shared" si="13"/>
        <v>pUmem_Cmd_JogContPlus(27)-&gt;i.user:$5658</v>
      </c>
    </row>
    <row r="227" spans="1:5" x14ac:dyDescent="0.3">
      <c r="A227" s="1">
        <v>22184</v>
      </c>
      <c r="B227" s="1" t="str">
        <f t="shared" si="12"/>
        <v>56A8</v>
      </c>
      <c r="C227" t="s">
        <v>1798</v>
      </c>
      <c r="D227" t="s">
        <v>1060</v>
      </c>
      <c r="E227" t="str">
        <f t="shared" si="13"/>
        <v>pUmem_Cmd_JogContPlus(28)-&gt;i.user:$56A8</v>
      </c>
    </row>
    <row r="228" spans="1:5" x14ac:dyDescent="0.3">
      <c r="A228" s="1">
        <v>22264</v>
      </c>
      <c r="B228" s="1" t="str">
        <f t="shared" si="12"/>
        <v>56F8</v>
      </c>
      <c r="C228" t="s">
        <v>1799</v>
      </c>
      <c r="D228" t="s">
        <v>1060</v>
      </c>
      <c r="E228" t="str">
        <f t="shared" si="13"/>
        <v>pUmem_Cmd_JogContPlus(29)-&gt;i.user:$56F8</v>
      </c>
    </row>
    <row r="229" spans="1:5" x14ac:dyDescent="0.3">
      <c r="A229" s="1">
        <v>22344</v>
      </c>
      <c r="B229" s="1" t="str">
        <f t="shared" si="12"/>
        <v>5748</v>
      </c>
      <c r="C229" t="s">
        <v>1800</v>
      </c>
      <c r="D229" t="s">
        <v>1060</v>
      </c>
      <c r="E229" t="str">
        <f t="shared" si="13"/>
        <v>pUmem_Cmd_JogContPlus(30)-&gt;i.user:$5748</v>
      </c>
    </row>
    <row r="230" spans="1:5" x14ac:dyDescent="0.3">
      <c r="A230" s="1">
        <v>22424</v>
      </c>
      <c r="B230" s="1" t="str">
        <f t="shared" si="12"/>
        <v>5798</v>
      </c>
      <c r="C230" t="s">
        <v>1801</v>
      </c>
      <c r="D230" t="s">
        <v>1060</v>
      </c>
      <c r="E230" t="str">
        <f t="shared" si="13"/>
        <v>pUmem_Cmd_JogContPlus(31)-&gt;i.user:$5798</v>
      </c>
    </row>
    <row r="231" spans="1:5" x14ac:dyDescent="0.3">
      <c r="A231" s="1">
        <v>22504</v>
      </c>
      <c r="B231" s="1" t="str">
        <f t="shared" si="12"/>
        <v>57E8</v>
      </c>
      <c r="C231" t="s">
        <v>1802</v>
      </c>
      <c r="D231" t="s">
        <v>1060</v>
      </c>
      <c r="E231" t="str">
        <f t="shared" si="13"/>
        <v>pUmem_Cmd_JogContPlus(32)-&gt;i.user:$57E8</v>
      </c>
    </row>
    <row r="233" spans="1:5" x14ac:dyDescent="0.3">
      <c r="A233" s="1">
        <v>20028</v>
      </c>
      <c r="B233" s="1" t="str">
        <f>DEC2HEX(A233)</f>
        <v>4E3C</v>
      </c>
      <c r="C233" t="s">
        <v>1516</v>
      </c>
      <c r="D233" t="s">
        <v>1060</v>
      </c>
      <c r="E233" t="str">
        <f>C233&amp;D233&amp;B233</f>
        <v>pUmem_Cmd_JogContMinus(01)-&gt;i.user:$4E3C</v>
      </c>
    </row>
    <row r="234" spans="1:5" x14ac:dyDescent="0.3">
      <c r="A234" s="1">
        <v>20108</v>
      </c>
      <c r="B234" s="1" t="str">
        <f t="shared" ref="B234:B264" si="14">DEC2HEX(A234)</f>
        <v>4E8C</v>
      </c>
      <c r="C234" t="s">
        <v>1741</v>
      </c>
      <c r="D234" t="s">
        <v>1060</v>
      </c>
      <c r="E234" t="str">
        <f t="shared" ref="E234:E264" si="15">C234&amp;D234&amp;B234</f>
        <v>pUmem_Cmd_JogContMinus(02)-&gt;i.user:$4E8C</v>
      </c>
    </row>
    <row r="235" spans="1:5" x14ac:dyDescent="0.3">
      <c r="A235" s="1">
        <v>20188</v>
      </c>
      <c r="B235" s="1" t="str">
        <f t="shared" si="14"/>
        <v>4EDC</v>
      </c>
      <c r="C235" t="s">
        <v>1742</v>
      </c>
      <c r="D235" t="s">
        <v>1060</v>
      </c>
      <c r="E235" t="str">
        <f t="shared" si="15"/>
        <v>pUmem_Cmd_JogContMinus(03)-&gt;i.user:$4EDC</v>
      </c>
    </row>
    <row r="236" spans="1:5" x14ac:dyDescent="0.3">
      <c r="A236" s="1">
        <v>20268</v>
      </c>
      <c r="B236" s="1" t="str">
        <f t="shared" si="14"/>
        <v>4F2C</v>
      </c>
      <c r="C236" t="s">
        <v>1743</v>
      </c>
      <c r="D236" t="s">
        <v>1060</v>
      </c>
      <c r="E236" t="str">
        <f t="shared" si="15"/>
        <v>pUmem_Cmd_JogContMinus(04)-&gt;i.user:$4F2C</v>
      </c>
    </row>
    <row r="237" spans="1:5" x14ac:dyDescent="0.3">
      <c r="A237" s="1">
        <v>20348</v>
      </c>
      <c r="B237" s="1" t="str">
        <f t="shared" si="14"/>
        <v>4F7C</v>
      </c>
      <c r="C237" t="s">
        <v>1744</v>
      </c>
      <c r="D237" t="s">
        <v>1060</v>
      </c>
      <c r="E237" t="str">
        <f t="shared" si="15"/>
        <v>pUmem_Cmd_JogContMinus(05)-&gt;i.user:$4F7C</v>
      </c>
    </row>
    <row r="238" spans="1:5" x14ac:dyDescent="0.3">
      <c r="A238" s="1">
        <v>20428</v>
      </c>
      <c r="B238" s="1" t="str">
        <f t="shared" si="14"/>
        <v>4FCC</v>
      </c>
      <c r="C238" t="s">
        <v>1745</v>
      </c>
      <c r="D238" t="s">
        <v>1060</v>
      </c>
      <c r="E238" t="str">
        <f t="shared" si="15"/>
        <v>pUmem_Cmd_JogContMinus(06)-&gt;i.user:$4FCC</v>
      </c>
    </row>
    <row r="239" spans="1:5" x14ac:dyDescent="0.3">
      <c r="A239" s="1">
        <v>20508</v>
      </c>
      <c r="B239" s="1" t="str">
        <f t="shared" si="14"/>
        <v>501C</v>
      </c>
      <c r="C239" t="s">
        <v>1746</v>
      </c>
      <c r="D239" t="s">
        <v>1060</v>
      </c>
      <c r="E239" t="str">
        <f t="shared" si="15"/>
        <v>pUmem_Cmd_JogContMinus(07)-&gt;i.user:$501C</v>
      </c>
    </row>
    <row r="240" spans="1:5" x14ac:dyDescent="0.3">
      <c r="A240" s="1">
        <v>20588</v>
      </c>
      <c r="B240" s="1" t="str">
        <f t="shared" si="14"/>
        <v>506C</v>
      </c>
      <c r="C240" t="s">
        <v>1747</v>
      </c>
      <c r="D240" t="s">
        <v>1060</v>
      </c>
      <c r="E240" t="str">
        <f t="shared" si="15"/>
        <v>pUmem_Cmd_JogContMinus(08)-&gt;i.user:$506C</v>
      </c>
    </row>
    <row r="241" spans="1:5" x14ac:dyDescent="0.3">
      <c r="A241" s="1">
        <v>20668</v>
      </c>
      <c r="B241" s="1" t="str">
        <f t="shared" si="14"/>
        <v>50BC</v>
      </c>
      <c r="C241" t="s">
        <v>1748</v>
      </c>
      <c r="D241" t="s">
        <v>1060</v>
      </c>
      <c r="E241" t="str">
        <f t="shared" si="15"/>
        <v>pUmem_Cmd_JogContMinus(09)-&gt;i.user:$50BC</v>
      </c>
    </row>
    <row r="242" spans="1:5" x14ac:dyDescent="0.3">
      <c r="A242" s="1">
        <v>20748</v>
      </c>
      <c r="B242" s="1" t="str">
        <f t="shared" si="14"/>
        <v>510C</v>
      </c>
      <c r="C242" t="s">
        <v>1749</v>
      </c>
      <c r="D242" t="s">
        <v>1060</v>
      </c>
      <c r="E242" t="str">
        <f t="shared" si="15"/>
        <v>pUmem_Cmd_JogContMinus(10)-&gt;i.user:$510C</v>
      </c>
    </row>
    <row r="243" spans="1:5" x14ac:dyDescent="0.3">
      <c r="A243" s="1">
        <v>20828</v>
      </c>
      <c r="B243" s="1" t="str">
        <f t="shared" si="14"/>
        <v>515C</v>
      </c>
      <c r="C243" t="s">
        <v>1750</v>
      </c>
      <c r="D243" t="s">
        <v>1060</v>
      </c>
      <c r="E243" t="str">
        <f t="shared" si="15"/>
        <v>pUmem_Cmd_JogContMinus(11)-&gt;i.user:$515C</v>
      </c>
    </row>
    <row r="244" spans="1:5" x14ac:dyDescent="0.3">
      <c r="A244" s="1">
        <v>20908</v>
      </c>
      <c r="B244" s="1" t="str">
        <f t="shared" si="14"/>
        <v>51AC</v>
      </c>
      <c r="C244" t="s">
        <v>1751</v>
      </c>
      <c r="D244" t="s">
        <v>1060</v>
      </c>
      <c r="E244" t="str">
        <f t="shared" si="15"/>
        <v>pUmem_Cmd_JogContMinus(12)-&gt;i.user:$51AC</v>
      </c>
    </row>
    <row r="245" spans="1:5" x14ac:dyDescent="0.3">
      <c r="A245" s="1">
        <v>20988</v>
      </c>
      <c r="B245" s="1" t="str">
        <f t="shared" si="14"/>
        <v>51FC</v>
      </c>
      <c r="C245" t="s">
        <v>1752</v>
      </c>
      <c r="D245" t="s">
        <v>1060</v>
      </c>
      <c r="E245" t="str">
        <f t="shared" si="15"/>
        <v>pUmem_Cmd_JogContMinus(13)-&gt;i.user:$51FC</v>
      </c>
    </row>
    <row r="246" spans="1:5" x14ac:dyDescent="0.3">
      <c r="A246" s="1">
        <v>21068</v>
      </c>
      <c r="B246" s="1" t="str">
        <f t="shared" si="14"/>
        <v>524C</v>
      </c>
      <c r="C246" t="s">
        <v>1753</v>
      </c>
      <c r="D246" t="s">
        <v>1060</v>
      </c>
      <c r="E246" t="str">
        <f t="shared" si="15"/>
        <v>pUmem_Cmd_JogContMinus(14)-&gt;i.user:$524C</v>
      </c>
    </row>
    <row r="247" spans="1:5" x14ac:dyDescent="0.3">
      <c r="A247" s="1">
        <v>21148</v>
      </c>
      <c r="B247" s="1" t="str">
        <f t="shared" si="14"/>
        <v>529C</v>
      </c>
      <c r="C247" t="s">
        <v>1754</v>
      </c>
      <c r="D247" t="s">
        <v>1060</v>
      </c>
      <c r="E247" t="str">
        <f t="shared" si="15"/>
        <v>pUmem_Cmd_JogContMinus(15)-&gt;i.user:$529C</v>
      </c>
    </row>
    <row r="248" spans="1:5" x14ac:dyDescent="0.3">
      <c r="A248" s="1">
        <v>21228</v>
      </c>
      <c r="B248" s="1" t="str">
        <f t="shared" si="14"/>
        <v>52EC</v>
      </c>
      <c r="C248" t="s">
        <v>1755</v>
      </c>
      <c r="D248" t="s">
        <v>1060</v>
      </c>
      <c r="E248" t="str">
        <f t="shared" si="15"/>
        <v>pUmem_Cmd_JogContMinus(16)-&gt;i.user:$52EC</v>
      </c>
    </row>
    <row r="249" spans="1:5" x14ac:dyDescent="0.3">
      <c r="A249" s="1">
        <v>21308</v>
      </c>
      <c r="B249" s="1" t="str">
        <f t="shared" si="14"/>
        <v>533C</v>
      </c>
      <c r="C249" t="s">
        <v>1756</v>
      </c>
      <c r="D249" t="s">
        <v>1060</v>
      </c>
      <c r="E249" t="str">
        <f t="shared" si="15"/>
        <v>pUmem_Cmd_JogContMinus(17)-&gt;i.user:$533C</v>
      </c>
    </row>
    <row r="250" spans="1:5" x14ac:dyDescent="0.3">
      <c r="A250" s="1">
        <v>21388</v>
      </c>
      <c r="B250" s="1" t="str">
        <f t="shared" si="14"/>
        <v>538C</v>
      </c>
      <c r="C250" t="s">
        <v>1757</v>
      </c>
      <c r="D250" t="s">
        <v>1060</v>
      </c>
      <c r="E250" t="str">
        <f t="shared" si="15"/>
        <v>pUmem_Cmd_JogContMinus(18)-&gt;i.user:$538C</v>
      </c>
    </row>
    <row r="251" spans="1:5" x14ac:dyDescent="0.3">
      <c r="A251" s="1">
        <v>21468</v>
      </c>
      <c r="B251" s="1" t="str">
        <f t="shared" si="14"/>
        <v>53DC</v>
      </c>
      <c r="C251" t="s">
        <v>1758</v>
      </c>
      <c r="D251" t="s">
        <v>1060</v>
      </c>
      <c r="E251" t="str">
        <f t="shared" si="15"/>
        <v>pUmem_Cmd_JogContMinus(19)-&gt;i.user:$53DC</v>
      </c>
    </row>
    <row r="252" spans="1:5" x14ac:dyDescent="0.3">
      <c r="A252" s="1">
        <v>21548</v>
      </c>
      <c r="B252" s="1" t="str">
        <f t="shared" si="14"/>
        <v>542C</v>
      </c>
      <c r="C252" t="s">
        <v>1759</v>
      </c>
      <c r="D252" t="s">
        <v>1060</v>
      </c>
      <c r="E252" t="str">
        <f t="shared" si="15"/>
        <v>pUmem_Cmd_JogContMinus(20)-&gt;i.user:$542C</v>
      </c>
    </row>
    <row r="253" spans="1:5" x14ac:dyDescent="0.3">
      <c r="A253" s="1">
        <v>21628</v>
      </c>
      <c r="B253" s="1" t="str">
        <f t="shared" si="14"/>
        <v>547C</v>
      </c>
      <c r="C253" t="s">
        <v>1760</v>
      </c>
      <c r="D253" t="s">
        <v>1060</v>
      </c>
      <c r="E253" t="str">
        <f t="shared" si="15"/>
        <v>pUmem_Cmd_JogContMinus(21)-&gt;i.user:$547C</v>
      </c>
    </row>
    <row r="254" spans="1:5" x14ac:dyDescent="0.3">
      <c r="A254" s="1">
        <v>21708</v>
      </c>
      <c r="B254" s="1" t="str">
        <f t="shared" si="14"/>
        <v>54CC</v>
      </c>
      <c r="C254" t="s">
        <v>1761</v>
      </c>
      <c r="D254" t="s">
        <v>1060</v>
      </c>
      <c r="E254" t="str">
        <f t="shared" si="15"/>
        <v>pUmem_Cmd_JogContMinus(22)-&gt;i.user:$54CC</v>
      </c>
    </row>
    <row r="255" spans="1:5" x14ac:dyDescent="0.3">
      <c r="A255" s="1">
        <v>21788</v>
      </c>
      <c r="B255" s="1" t="str">
        <f t="shared" si="14"/>
        <v>551C</v>
      </c>
      <c r="C255" t="s">
        <v>1762</v>
      </c>
      <c r="D255" t="s">
        <v>1060</v>
      </c>
      <c r="E255" t="str">
        <f t="shared" si="15"/>
        <v>pUmem_Cmd_JogContMinus(23)-&gt;i.user:$551C</v>
      </c>
    </row>
    <row r="256" spans="1:5" x14ac:dyDescent="0.3">
      <c r="A256" s="1">
        <v>21868</v>
      </c>
      <c r="B256" s="1" t="str">
        <f t="shared" si="14"/>
        <v>556C</v>
      </c>
      <c r="C256" t="s">
        <v>1763</v>
      </c>
      <c r="D256" t="s">
        <v>1060</v>
      </c>
      <c r="E256" t="str">
        <f t="shared" si="15"/>
        <v>pUmem_Cmd_JogContMinus(24)-&gt;i.user:$556C</v>
      </c>
    </row>
    <row r="257" spans="1:5" x14ac:dyDescent="0.3">
      <c r="A257" s="1">
        <v>21948</v>
      </c>
      <c r="B257" s="1" t="str">
        <f t="shared" si="14"/>
        <v>55BC</v>
      </c>
      <c r="C257" t="s">
        <v>1764</v>
      </c>
      <c r="D257" t="s">
        <v>1060</v>
      </c>
      <c r="E257" t="str">
        <f t="shared" si="15"/>
        <v>pUmem_Cmd_JogContMinus(25)-&gt;i.user:$55BC</v>
      </c>
    </row>
    <row r="258" spans="1:5" x14ac:dyDescent="0.3">
      <c r="A258" s="1">
        <v>22028</v>
      </c>
      <c r="B258" s="1" t="str">
        <f t="shared" si="14"/>
        <v>560C</v>
      </c>
      <c r="C258" t="s">
        <v>1765</v>
      </c>
      <c r="D258" t="s">
        <v>1060</v>
      </c>
      <c r="E258" t="str">
        <f t="shared" si="15"/>
        <v>pUmem_Cmd_JogContMinus(26)-&gt;i.user:$560C</v>
      </c>
    </row>
    <row r="259" spans="1:5" x14ac:dyDescent="0.3">
      <c r="A259" s="1">
        <v>22108</v>
      </c>
      <c r="B259" s="1" t="str">
        <f t="shared" si="14"/>
        <v>565C</v>
      </c>
      <c r="C259" t="s">
        <v>1766</v>
      </c>
      <c r="D259" t="s">
        <v>1060</v>
      </c>
      <c r="E259" t="str">
        <f t="shared" si="15"/>
        <v>pUmem_Cmd_JogContMinus(27)-&gt;i.user:$565C</v>
      </c>
    </row>
    <row r="260" spans="1:5" x14ac:dyDescent="0.3">
      <c r="A260" s="1">
        <v>22188</v>
      </c>
      <c r="B260" s="1" t="str">
        <f t="shared" si="14"/>
        <v>56AC</v>
      </c>
      <c r="C260" t="s">
        <v>1767</v>
      </c>
      <c r="D260" t="s">
        <v>1060</v>
      </c>
      <c r="E260" t="str">
        <f t="shared" si="15"/>
        <v>pUmem_Cmd_JogContMinus(28)-&gt;i.user:$56AC</v>
      </c>
    </row>
    <row r="261" spans="1:5" x14ac:dyDescent="0.3">
      <c r="A261" s="1">
        <v>22268</v>
      </c>
      <c r="B261" s="1" t="str">
        <f t="shared" si="14"/>
        <v>56FC</v>
      </c>
      <c r="C261" t="s">
        <v>1768</v>
      </c>
      <c r="D261" t="s">
        <v>1060</v>
      </c>
      <c r="E261" t="str">
        <f t="shared" si="15"/>
        <v>pUmem_Cmd_JogContMinus(29)-&gt;i.user:$56FC</v>
      </c>
    </row>
    <row r="262" spans="1:5" x14ac:dyDescent="0.3">
      <c r="A262" s="1">
        <v>22348</v>
      </c>
      <c r="B262" s="1" t="str">
        <f t="shared" si="14"/>
        <v>574C</v>
      </c>
      <c r="C262" t="s">
        <v>1769</v>
      </c>
      <c r="D262" t="s">
        <v>1060</v>
      </c>
      <c r="E262" t="str">
        <f t="shared" si="15"/>
        <v>pUmem_Cmd_JogContMinus(30)-&gt;i.user:$574C</v>
      </c>
    </row>
    <row r="263" spans="1:5" x14ac:dyDescent="0.3">
      <c r="A263" s="1">
        <v>22428</v>
      </c>
      <c r="B263" s="1" t="str">
        <f t="shared" si="14"/>
        <v>579C</v>
      </c>
      <c r="C263" t="s">
        <v>1770</v>
      </c>
      <c r="D263" t="s">
        <v>1060</v>
      </c>
      <c r="E263" t="str">
        <f t="shared" si="15"/>
        <v>pUmem_Cmd_JogContMinus(31)-&gt;i.user:$579C</v>
      </c>
    </row>
    <row r="264" spans="1:5" x14ac:dyDescent="0.3">
      <c r="A264" s="1">
        <v>22508</v>
      </c>
      <c r="B264" s="1" t="str">
        <f t="shared" si="14"/>
        <v>57EC</v>
      </c>
      <c r="C264" t="s">
        <v>1771</v>
      </c>
      <c r="D264" t="s">
        <v>1060</v>
      </c>
      <c r="E264" t="str">
        <f t="shared" si="15"/>
        <v>pUmem_Cmd_JogContMinus(32)-&gt;i.user:$57EC</v>
      </c>
    </row>
    <row r="266" spans="1:5" x14ac:dyDescent="0.3">
      <c r="A266" s="1">
        <v>20032</v>
      </c>
      <c r="B266" s="1" t="str">
        <f>DEC2HEX(A266)</f>
        <v>4E40</v>
      </c>
      <c r="C266" t="s">
        <v>1517</v>
      </c>
      <c r="D266" t="s">
        <v>1060</v>
      </c>
      <c r="E266" t="str">
        <f>C266&amp;D266&amp;B266</f>
        <v>pUmem_Cmd_JogAbsMove(01)-&gt;i.user:$4E40</v>
      </c>
    </row>
    <row r="267" spans="1:5" x14ac:dyDescent="0.3">
      <c r="A267" s="1">
        <v>20112</v>
      </c>
      <c r="B267" s="1" t="str">
        <f t="shared" ref="B267:B297" si="16">DEC2HEX(A267)</f>
        <v>4E90</v>
      </c>
      <c r="C267" t="s">
        <v>1710</v>
      </c>
      <c r="D267" t="s">
        <v>1060</v>
      </c>
      <c r="E267" t="str">
        <f t="shared" ref="E267:E297" si="17">C267&amp;D267&amp;B267</f>
        <v>pUmem_Cmd_JogAbsMove(02)-&gt;i.user:$4E90</v>
      </c>
    </row>
    <row r="268" spans="1:5" x14ac:dyDescent="0.3">
      <c r="A268" s="1">
        <v>20192</v>
      </c>
      <c r="B268" s="1" t="str">
        <f t="shared" si="16"/>
        <v>4EE0</v>
      </c>
      <c r="C268" t="s">
        <v>1711</v>
      </c>
      <c r="D268" t="s">
        <v>1060</v>
      </c>
      <c r="E268" t="str">
        <f t="shared" si="17"/>
        <v>pUmem_Cmd_JogAbsMove(03)-&gt;i.user:$4EE0</v>
      </c>
    </row>
    <row r="269" spans="1:5" x14ac:dyDescent="0.3">
      <c r="A269" s="1">
        <v>20272</v>
      </c>
      <c r="B269" s="1" t="str">
        <f t="shared" si="16"/>
        <v>4F30</v>
      </c>
      <c r="C269" t="s">
        <v>1712</v>
      </c>
      <c r="D269" t="s">
        <v>1060</v>
      </c>
      <c r="E269" t="str">
        <f t="shared" si="17"/>
        <v>pUmem_Cmd_JogAbsMove(04)-&gt;i.user:$4F30</v>
      </c>
    </row>
    <row r="270" spans="1:5" x14ac:dyDescent="0.3">
      <c r="A270" s="1">
        <v>20352</v>
      </c>
      <c r="B270" s="1" t="str">
        <f t="shared" si="16"/>
        <v>4F80</v>
      </c>
      <c r="C270" t="s">
        <v>1713</v>
      </c>
      <c r="D270" t="s">
        <v>1060</v>
      </c>
      <c r="E270" t="str">
        <f t="shared" si="17"/>
        <v>pUmem_Cmd_JogAbsMove(05)-&gt;i.user:$4F80</v>
      </c>
    </row>
    <row r="271" spans="1:5" x14ac:dyDescent="0.3">
      <c r="A271" s="1">
        <v>20432</v>
      </c>
      <c r="B271" s="1" t="str">
        <f t="shared" si="16"/>
        <v>4FD0</v>
      </c>
      <c r="C271" t="s">
        <v>1714</v>
      </c>
      <c r="D271" t="s">
        <v>1060</v>
      </c>
      <c r="E271" t="str">
        <f t="shared" si="17"/>
        <v>pUmem_Cmd_JogAbsMove(06)-&gt;i.user:$4FD0</v>
      </c>
    </row>
    <row r="272" spans="1:5" x14ac:dyDescent="0.3">
      <c r="A272" s="1">
        <v>20512</v>
      </c>
      <c r="B272" s="1" t="str">
        <f t="shared" si="16"/>
        <v>5020</v>
      </c>
      <c r="C272" t="s">
        <v>1715</v>
      </c>
      <c r="D272" t="s">
        <v>1060</v>
      </c>
      <c r="E272" t="str">
        <f t="shared" si="17"/>
        <v>pUmem_Cmd_JogAbsMove(07)-&gt;i.user:$5020</v>
      </c>
    </row>
    <row r="273" spans="1:5" x14ac:dyDescent="0.3">
      <c r="A273" s="1">
        <v>20592</v>
      </c>
      <c r="B273" s="1" t="str">
        <f t="shared" si="16"/>
        <v>5070</v>
      </c>
      <c r="C273" t="s">
        <v>1716</v>
      </c>
      <c r="D273" t="s">
        <v>1060</v>
      </c>
      <c r="E273" t="str">
        <f t="shared" si="17"/>
        <v>pUmem_Cmd_JogAbsMove(08)-&gt;i.user:$5070</v>
      </c>
    </row>
    <row r="274" spans="1:5" x14ac:dyDescent="0.3">
      <c r="A274" s="1">
        <v>20672</v>
      </c>
      <c r="B274" s="1" t="str">
        <f t="shared" si="16"/>
        <v>50C0</v>
      </c>
      <c r="C274" t="s">
        <v>1717</v>
      </c>
      <c r="D274" t="s">
        <v>1060</v>
      </c>
      <c r="E274" t="str">
        <f t="shared" si="17"/>
        <v>pUmem_Cmd_JogAbsMove(09)-&gt;i.user:$50C0</v>
      </c>
    </row>
    <row r="275" spans="1:5" x14ac:dyDescent="0.3">
      <c r="A275" s="1">
        <v>20752</v>
      </c>
      <c r="B275" s="1" t="str">
        <f t="shared" si="16"/>
        <v>5110</v>
      </c>
      <c r="C275" t="s">
        <v>1718</v>
      </c>
      <c r="D275" t="s">
        <v>1060</v>
      </c>
      <c r="E275" t="str">
        <f t="shared" si="17"/>
        <v>pUmem_Cmd_JogAbsMove(10)-&gt;i.user:$5110</v>
      </c>
    </row>
    <row r="276" spans="1:5" x14ac:dyDescent="0.3">
      <c r="A276" s="1">
        <v>20832</v>
      </c>
      <c r="B276" s="1" t="str">
        <f t="shared" si="16"/>
        <v>5160</v>
      </c>
      <c r="C276" t="s">
        <v>1719</v>
      </c>
      <c r="D276" t="s">
        <v>1060</v>
      </c>
      <c r="E276" t="str">
        <f t="shared" si="17"/>
        <v>pUmem_Cmd_JogAbsMove(11)-&gt;i.user:$5160</v>
      </c>
    </row>
    <row r="277" spans="1:5" x14ac:dyDescent="0.3">
      <c r="A277" s="1">
        <v>20912</v>
      </c>
      <c r="B277" s="1" t="str">
        <f t="shared" si="16"/>
        <v>51B0</v>
      </c>
      <c r="C277" t="s">
        <v>1720</v>
      </c>
      <c r="D277" t="s">
        <v>1060</v>
      </c>
      <c r="E277" t="str">
        <f t="shared" si="17"/>
        <v>pUmem_Cmd_JogAbsMove(12)-&gt;i.user:$51B0</v>
      </c>
    </row>
    <row r="278" spans="1:5" x14ac:dyDescent="0.3">
      <c r="A278" s="1">
        <v>20992</v>
      </c>
      <c r="B278" s="1" t="str">
        <f t="shared" si="16"/>
        <v>5200</v>
      </c>
      <c r="C278" t="s">
        <v>1721</v>
      </c>
      <c r="D278" t="s">
        <v>1060</v>
      </c>
      <c r="E278" t="str">
        <f t="shared" si="17"/>
        <v>pUmem_Cmd_JogAbsMove(13)-&gt;i.user:$5200</v>
      </c>
    </row>
    <row r="279" spans="1:5" x14ac:dyDescent="0.3">
      <c r="A279" s="1">
        <v>21072</v>
      </c>
      <c r="B279" s="1" t="str">
        <f t="shared" si="16"/>
        <v>5250</v>
      </c>
      <c r="C279" t="s">
        <v>1722</v>
      </c>
      <c r="D279" t="s">
        <v>1060</v>
      </c>
      <c r="E279" t="str">
        <f t="shared" si="17"/>
        <v>pUmem_Cmd_JogAbsMove(14)-&gt;i.user:$5250</v>
      </c>
    </row>
    <row r="280" spans="1:5" x14ac:dyDescent="0.3">
      <c r="A280" s="1">
        <v>21152</v>
      </c>
      <c r="B280" s="1" t="str">
        <f t="shared" si="16"/>
        <v>52A0</v>
      </c>
      <c r="C280" t="s">
        <v>1723</v>
      </c>
      <c r="D280" t="s">
        <v>1060</v>
      </c>
      <c r="E280" t="str">
        <f t="shared" si="17"/>
        <v>pUmem_Cmd_JogAbsMove(15)-&gt;i.user:$52A0</v>
      </c>
    </row>
    <row r="281" spans="1:5" x14ac:dyDescent="0.3">
      <c r="A281" s="1">
        <v>21232</v>
      </c>
      <c r="B281" s="1" t="str">
        <f t="shared" si="16"/>
        <v>52F0</v>
      </c>
      <c r="C281" t="s">
        <v>1724</v>
      </c>
      <c r="D281" t="s">
        <v>1060</v>
      </c>
      <c r="E281" t="str">
        <f t="shared" si="17"/>
        <v>pUmem_Cmd_JogAbsMove(16)-&gt;i.user:$52F0</v>
      </c>
    </row>
    <row r="282" spans="1:5" x14ac:dyDescent="0.3">
      <c r="A282" s="1">
        <v>21312</v>
      </c>
      <c r="B282" s="1" t="str">
        <f t="shared" si="16"/>
        <v>5340</v>
      </c>
      <c r="C282" t="s">
        <v>1725</v>
      </c>
      <c r="D282" t="s">
        <v>1060</v>
      </c>
      <c r="E282" t="str">
        <f t="shared" si="17"/>
        <v>pUmem_Cmd_JogAbsMove(17)-&gt;i.user:$5340</v>
      </c>
    </row>
    <row r="283" spans="1:5" x14ac:dyDescent="0.3">
      <c r="A283" s="1">
        <v>21392</v>
      </c>
      <c r="B283" s="1" t="str">
        <f t="shared" si="16"/>
        <v>5390</v>
      </c>
      <c r="C283" t="s">
        <v>1726</v>
      </c>
      <c r="D283" t="s">
        <v>1060</v>
      </c>
      <c r="E283" t="str">
        <f t="shared" si="17"/>
        <v>pUmem_Cmd_JogAbsMove(18)-&gt;i.user:$5390</v>
      </c>
    </row>
    <row r="284" spans="1:5" x14ac:dyDescent="0.3">
      <c r="A284" s="1">
        <v>21472</v>
      </c>
      <c r="B284" s="1" t="str">
        <f t="shared" si="16"/>
        <v>53E0</v>
      </c>
      <c r="C284" t="s">
        <v>1727</v>
      </c>
      <c r="D284" t="s">
        <v>1060</v>
      </c>
      <c r="E284" t="str">
        <f t="shared" si="17"/>
        <v>pUmem_Cmd_JogAbsMove(19)-&gt;i.user:$53E0</v>
      </c>
    </row>
    <row r="285" spans="1:5" x14ac:dyDescent="0.3">
      <c r="A285" s="1">
        <v>21552</v>
      </c>
      <c r="B285" s="1" t="str">
        <f t="shared" si="16"/>
        <v>5430</v>
      </c>
      <c r="C285" t="s">
        <v>1728</v>
      </c>
      <c r="D285" t="s">
        <v>1060</v>
      </c>
      <c r="E285" t="str">
        <f t="shared" si="17"/>
        <v>pUmem_Cmd_JogAbsMove(20)-&gt;i.user:$5430</v>
      </c>
    </row>
    <row r="286" spans="1:5" x14ac:dyDescent="0.3">
      <c r="A286" s="1">
        <v>21632</v>
      </c>
      <c r="B286" s="1" t="str">
        <f t="shared" si="16"/>
        <v>5480</v>
      </c>
      <c r="C286" t="s">
        <v>1729</v>
      </c>
      <c r="D286" t="s">
        <v>1060</v>
      </c>
      <c r="E286" t="str">
        <f t="shared" si="17"/>
        <v>pUmem_Cmd_JogAbsMove(21)-&gt;i.user:$5480</v>
      </c>
    </row>
    <row r="287" spans="1:5" x14ac:dyDescent="0.3">
      <c r="A287" s="1">
        <v>21712</v>
      </c>
      <c r="B287" s="1" t="str">
        <f t="shared" si="16"/>
        <v>54D0</v>
      </c>
      <c r="C287" t="s">
        <v>1730</v>
      </c>
      <c r="D287" t="s">
        <v>1060</v>
      </c>
      <c r="E287" t="str">
        <f t="shared" si="17"/>
        <v>pUmem_Cmd_JogAbsMove(22)-&gt;i.user:$54D0</v>
      </c>
    </row>
    <row r="288" spans="1:5" x14ac:dyDescent="0.3">
      <c r="A288" s="1">
        <v>21792</v>
      </c>
      <c r="B288" s="1" t="str">
        <f t="shared" si="16"/>
        <v>5520</v>
      </c>
      <c r="C288" t="s">
        <v>1731</v>
      </c>
      <c r="D288" t="s">
        <v>1060</v>
      </c>
      <c r="E288" t="str">
        <f t="shared" si="17"/>
        <v>pUmem_Cmd_JogAbsMove(23)-&gt;i.user:$5520</v>
      </c>
    </row>
    <row r="289" spans="1:5" x14ac:dyDescent="0.3">
      <c r="A289" s="1">
        <v>21872</v>
      </c>
      <c r="B289" s="1" t="str">
        <f t="shared" si="16"/>
        <v>5570</v>
      </c>
      <c r="C289" t="s">
        <v>1732</v>
      </c>
      <c r="D289" t="s">
        <v>1060</v>
      </c>
      <c r="E289" t="str">
        <f t="shared" si="17"/>
        <v>pUmem_Cmd_JogAbsMove(24)-&gt;i.user:$5570</v>
      </c>
    </row>
    <row r="290" spans="1:5" x14ac:dyDescent="0.3">
      <c r="A290" s="1">
        <v>21952</v>
      </c>
      <c r="B290" s="1" t="str">
        <f t="shared" si="16"/>
        <v>55C0</v>
      </c>
      <c r="C290" t="s">
        <v>1733</v>
      </c>
      <c r="D290" t="s">
        <v>1060</v>
      </c>
      <c r="E290" t="str">
        <f t="shared" si="17"/>
        <v>pUmem_Cmd_JogAbsMove(25)-&gt;i.user:$55C0</v>
      </c>
    </row>
    <row r="291" spans="1:5" x14ac:dyDescent="0.3">
      <c r="A291" s="1">
        <v>22032</v>
      </c>
      <c r="B291" s="1" t="str">
        <f t="shared" si="16"/>
        <v>5610</v>
      </c>
      <c r="C291" t="s">
        <v>1734</v>
      </c>
      <c r="D291" t="s">
        <v>1060</v>
      </c>
      <c r="E291" t="str">
        <f t="shared" si="17"/>
        <v>pUmem_Cmd_JogAbsMove(26)-&gt;i.user:$5610</v>
      </c>
    </row>
    <row r="292" spans="1:5" x14ac:dyDescent="0.3">
      <c r="A292" s="1">
        <v>22112</v>
      </c>
      <c r="B292" s="1" t="str">
        <f t="shared" si="16"/>
        <v>5660</v>
      </c>
      <c r="C292" t="s">
        <v>1735</v>
      </c>
      <c r="D292" t="s">
        <v>1060</v>
      </c>
      <c r="E292" t="str">
        <f t="shared" si="17"/>
        <v>pUmem_Cmd_JogAbsMove(27)-&gt;i.user:$5660</v>
      </c>
    </row>
    <row r="293" spans="1:5" x14ac:dyDescent="0.3">
      <c r="A293" s="1">
        <v>22192</v>
      </c>
      <c r="B293" s="1" t="str">
        <f t="shared" si="16"/>
        <v>56B0</v>
      </c>
      <c r="C293" t="s">
        <v>1736</v>
      </c>
      <c r="D293" t="s">
        <v>1060</v>
      </c>
      <c r="E293" t="str">
        <f t="shared" si="17"/>
        <v>pUmem_Cmd_JogAbsMove(28)-&gt;i.user:$56B0</v>
      </c>
    </row>
    <row r="294" spans="1:5" x14ac:dyDescent="0.3">
      <c r="A294" s="1">
        <v>22272</v>
      </c>
      <c r="B294" s="1" t="str">
        <f t="shared" si="16"/>
        <v>5700</v>
      </c>
      <c r="C294" t="s">
        <v>1737</v>
      </c>
      <c r="D294" t="s">
        <v>1060</v>
      </c>
      <c r="E294" t="str">
        <f t="shared" si="17"/>
        <v>pUmem_Cmd_JogAbsMove(29)-&gt;i.user:$5700</v>
      </c>
    </row>
    <row r="295" spans="1:5" x14ac:dyDescent="0.3">
      <c r="A295" s="1">
        <v>22352</v>
      </c>
      <c r="B295" s="1" t="str">
        <f t="shared" si="16"/>
        <v>5750</v>
      </c>
      <c r="C295" t="s">
        <v>1738</v>
      </c>
      <c r="D295" t="s">
        <v>1060</v>
      </c>
      <c r="E295" t="str">
        <f t="shared" si="17"/>
        <v>pUmem_Cmd_JogAbsMove(30)-&gt;i.user:$5750</v>
      </c>
    </row>
    <row r="296" spans="1:5" x14ac:dyDescent="0.3">
      <c r="A296" s="1">
        <v>22432</v>
      </c>
      <c r="B296" s="1" t="str">
        <f t="shared" si="16"/>
        <v>57A0</v>
      </c>
      <c r="C296" t="s">
        <v>1739</v>
      </c>
      <c r="D296" t="s">
        <v>1060</v>
      </c>
      <c r="E296" t="str">
        <f t="shared" si="17"/>
        <v>pUmem_Cmd_JogAbsMove(31)-&gt;i.user:$57A0</v>
      </c>
    </row>
    <row r="297" spans="1:5" x14ac:dyDescent="0.3">
      <c r="A297" s="1">
        <v>22512</v>
      </c>
      <c r="B297" s="1" t="str">
        <f t="shared" si="16"/>
        <v>57F0</v>
      </c>
      <c r="C297" t="s">
        <v>1740</v>
      </c>
      <c r="D297" t="s">
        <v>1060</v>
      </c>
      <c r="E297" t="str">
        <f t="shared" si="17"/>
        <v>pUmem_Cmd_JogAbsMove(32)-&gt;i.user:$57F0</v>
      </c>
    </row>
    <row r="299" spans="1:5" x14ac:dyDescent="0.3">
      <c r="A299" s="1">
        <v>20036</v>
      </c>
      <c r="B299" s="1" t="str">
        <f>DEC2HEX(A299)</f>
        <v>4E44</v>
      </c>
      <c r="C299" t="s">
        <v>1518</v>
      </c>
      <c r="D299" t="s">
        <v>1060</v>
      </c>
      <c r="E299" t="str">
        <f>C299&amp;D299&amp;B299</f>
        <v>pUmem_Cmd_JogIncMove(01)-&gt;i.user:$4E44</v>
      </c>
    </row>
    <row r="300" spans="1:5" x14ac:dyDescent="0.3">
      <c r="A300" s="1">
        <v>20116</v>
      </c>
      <c r="B300" s="1" t="str">
        <f t="shared" ref="B300:B330" si="18">DEC2HEX(A300)</f>
        <v>4E94</v>
      </c>
      <c r="C300" t="s">
        <v>1679</v>
      </c>
      <c r="D300" t="s">
        <v>1060</v>
      </c>
      <c r="E300" t="str">
        <f t="shared" ref="E300:E330" si="19">C300&amp;D300&amp;B300</f>
        <v>pUmem_Cmd_JogIncMove(02)-&gt;i.user:$4E94</v>
      </c>
    </row>
    <row r="301" spans="1:5" x14ac:dyDescent="0.3">
      <c r="A301" s="1">
        <v>20196</v>
      </c>
      <c r="B301" s="1" t="str">
        <f t="shared" si="18"/>
        <v>4EE4</v>
      </c>
      <c r="C301" t="s">
        <v>1680</v>
      </c>
      <c r="D301" t="s">
        <v>1060</v>
      </c>
      <c r="E301" t="str">
        <f t="shared" si="19"/>
        <v>pUmem_Cmd_JogIncMove(03)-&gt;i.user:$4EE4</v>
      </c>
    </row>
    <row r="302" spans="1:5" x14ac:dyDescent="0.3">
      <c r="A302" s="1">
        <v>20276</v>
      </c>
      <c r="B302" s="1" t="str">
        <f t="shared" si="18"/>
        <v>4F34</v>
      </c>
      <c r="C302" t="s">
        <v>1681</v>
      </c>
      <c r="D302" t="s">
        <v>1060</v>
      </c>
      <c r="E302" t="str">
        <f t="shared" si="19"/>
        <v>pUmem_Cmd_JogIncMove(04)-&gt;i.user:$4F34</v>
      </c>
    </row>
    <row r="303" spans="1:5" x14ac:dyDescent="0.3">
      <c r="A303" s="1">
        <v>20356</v>
      </c>
      <c r="B303" s="1" t="str">
        <f t="shared" si="18"/>
        <v>4F84</v>
      </c>
      <c r="C303" t="s">
        <v>1682</v>
      </c>
      <c r="D303" t="s">
        <v>1060</v>
      </c>
      <c r="E303" t="str">
        <f t="shared" si="19"/>
        <v>pUmem_Cmd_JogIncMove(05)-&gt;i.user:$4F84</v>
      </c>
    </row>
    <row r="304" spans="1:5" x14ac:dyDescent="0.3">
      <c r="A304" s="1">
        <v>20436</v>
      </c>
      <c r="B304" s="1" t="str">
        <f t="shared" si="18"/>
        <v>4FD4</v>
      </c>
      <c r="C304" t="s">
        <v>1683</v>
      </c>
      <c r="D304" t="s">
        <v>1060</v>
      </c>
      <c r="E304" t="str">
        <f t="shared" si="19"/>
        <v>pUmem_Cmd_JogIncMove(06)-&gt;i.user:$4FD4</v>
      </c>
    </row>
    <row r="305" spans="1:5" x14ac:dyDescent="0.3">
      <c r="A305" s="1">
        <v>20516</v>
      </c>
      <c r="B305" s="1" t="str">
        <f t="shared" si="18"/>
        <v>5024</v>
      </c>
      <c r="C305" t="s">
        <v>1684</v>
      </c>
      <c r="D305" t="s">
        <v>1060</v>
      </c>
      <c r="E305" t="str">
        <f t="shared" si="19"/>
        <v>pUmem_Cmd_JogIncMove(07)-&gt;i.user:$5024</v>
      </c>
    </row>
    <row r="306" spans="1:5" x14ac:dyDescent="0.3">
      <c r="A306" s="1">
        <v>20596</v>
      </c>
      <c r="B306" s="1" t="str">
        <f t="shared" si="18"/>
        <v>5074</v>
      </c>
      <c r="C306" t="s">
        <v>1685</v>
      </c>
      <c r="D306" t="s">
        <v>1060</v>
      </c>
      <c r="E306" t="str">
        <f t="shared" si="19"/>
        <v>pUmem_Cmd_JogIncMove(08)-&gt;i.user:$5074</v>
      </c>
    </row>
    <row r="307" spans="1:5" x14ac:dyDescent="0.3">
      <c r="A307" s="1">
        <v>20676</v>
      </c>
      <c r="B307" s="1" t="str">
        <f t="shared" si="18"/>
        <v>50C4</v>
      </c>
      <c r="C307" t="s">
        <v>1686</v>
      </c>
      <c r="D307" t="s">
        <v>1060</v>
      </c>
      <c r="E307" t="str">
        <f t="shared" si="19"/>
        <v>pUmem_Cmd_JogIncMove(09)-&gt;i.user:$50C4</v>
      </c>
    </row>
    <row r="308" spans="1:5" x14ac:dyDescent="0.3">
      <c r="A308" s="1">
        <v>20756</v>
      </c>
      <c r="B308" s="1" t="str">
        <f t="shared" si="18"/>
        <v>5114</v>
      </c>
      <c r="C308" t="s">
        <v>1687</v>
      </c>
      <c r="D308" t="s">
        <v>1060</v>
      </c>
      <c r="E308" t="str">
        <f t="shared" si="19"/>
        <v>pUmem_Cmd_JogIncMove(10)-&gt;i.user:$5114</v>
      </c>
    </row>
    <row r="309" spans="1:5" x14ac:dyDescent="0.3">
      <c r="A309" s="1">
        <v>20836</v>
      </c>
      <c r="B309" s="1" t="str">
        <f t="shared" si="18"/>
        <v>5164</v>
      </c>
      <c r="C309" t="s">
        <v>1688</v>
      </c>
      <c r="D309" t="s">
        <v>1060</v>
      </c>
      <c r="E309" t="str">
        <f t="shared" si="19"/>
        <v>pUmem_Cmd_JogIncMove(11)-&gt;i.user:$5164</v>
      </c>
    </row>
    <row r="310" spans="1:5" x14ac:dyDescent="0.3">
      <c r="A310" s="1">
        <v>20916</v>
      </c>
      <c r="B310" s="1" t="str">
        <f t="shared" si="18"/>
        <v>51B4</v>
      </c>
      <c r="C310" t="s">
        <v>1689</v>
      </c>
      <c r="D310" t="s">
        <v>1060</v>
      </c>
      <c r="E310" t="str">
        <f t="shared" si="19"/>
        <v>pUmem_Cmd_JogIncMove(12)-&gt;i.user:$51B4</v>
      </c>
    </row>
    <row r="311" spans="1:5" x14ac:dyDescent="0.3">
      <c r="A311" s="1">
        <v>20996</v>
      </c>
      <c r="B311" s="1" t="str">
        <f t="shared" si="18"/>
        <v>5204</v>
      </c>
      <c r="C311" t="s">
        <v>1690</v>
      </c>
      <c r="D311" t="s">
        <v>1060</v>
      </c>
      <c r="E311" t="str">
        <f t="shared" si="19"/>
        <v>pUmem_Cmd_JogIncMove(13)-&gt;i.user:$5204</v>
      </c>
    </row>
    <row r="312" spans="1:5" x14ac:dyDescent="0.3">
      <c r="A312" s="1">
        <v>21076</v>
      </c>
      <c r="B312" s="1" t="str">
        <f t="shared" si="18"/>
        <v>5254</v>
      </c>
      <c r="C312" t="s">
        <v>1691</v>
      </c>
      <c r="D312" t="s">
        <v>1060</v>
      </c>
      <c r="E312" t="str">
        <f t="shared" si="19"/>
        <v>pUmem_Cmd_JogIncMove(14)-&gt;i.user:$5254</v>
      </c>
    </row>
    <row r="313" spans="1:5" x14ac:dyDescent="0.3">
      <c r="A313" s="1">
        <v>21156</v>
      </c>
      <c r="B313" s="1" t="str">
        <f t="shared" si="18"/>
        <v>52A4</v>
      </c>
      <c r="C313" t="s">
        <v>1692</v>
      </c>
      <c r="D313" t="s">
        <v>1060</v>
      </c>
      <c r="E313" t="str">
        <f t="shared" si="19"/>
        <v>pUmem_Cmd_JogIncMove(15)-&gt;i.user:$52A4</v>
      </c>
    </row>
    <row r="314" spans="1:5" x14ac:dyDescent="0.3">
      <c r="A314" s="1">
        <v>21236</v>
      </c>
      <c r="B314" s="1" t="str">
        <f t="shared" si="18"/>
        <v>52F4</v>
      </c>
      <c r="C314" t="s">
        <v>1693</v>
      </c>
      <c r="D314" t="s">
        <v>1060</v>
      </c>
      <c r="E314" t="str">
        <f t="shared" si="19"/>
        <v>pUmem_Cmd_JogIncMove(16)-&gt;i.user:$52F4</v>
      </c>
    </row>
    <row r="315" spans="1:5" x14ac:dyDescent="0.3">
      <c r="A315" s="1">
        <v>21316</v>
      </c>
      <c r="B315" s="1" t="str">
        <f t="shared" si="18"/>
        <v>5344</v>
      </c>
      <c r="C315" t="s">
        <v>1694</v>
      </c>
      <c r="D315" t="s">
        <v>1060</v>
      </c>
      <c r="E315" t="str">
        <f t="shared" si="19"/>
        <v>pUmem_Cmd_JogIncMove(17)-&gt;i.user:$5344</v>
      </c>
    </row>
    <row r="316" spans="1:5" x14ac:dyDescent="0.3">
      <c r="A316" s="1">
        <v>21396</v>
      </c>
      <c r="B316" s="1" t="str">
        <f t="shared" si="18"/>
        <v>5394</v>
      </c>
      <c r="C316" t="s">
        <v>1695</v>
      </c>
      <c r="D316" t="s">
        <v>1060</v>
      </c>
      <c r="E316" t="str">
        <f t="shared" si="19"/>
        <v>pUmem_Cmd_JogIncMove(18)-&gt;i.user:$5394</v>
      </c>
    </row>
    <row r="317" spans="1:5" x14ac:dyDescent="0.3">
      <c r="A317" s="1">
        <v>21476</v>
      </c>
      <c r="B317" s="1" t="str">
        <f t="shared" si="18"/>
        <v>53E4</v>
      </c>
      <c r="C317" t="s">
        <v>1696</v>
      </c>
      <c r="D317" t="s">
        <v>1060</v>
      </c>
      <c r="E317" t="str">
        <f t="shared" si="19"/>
        <v>pUmem_Cmd_JogIncMove(19)-&gt;i.user:$53E4</v>
      </c>
    </row>
    <row r="318" spans="1:5" x14ac:dyDescent="0.3">
      <c r="A318" s="1">
        <v>21556</v>
      </c>
      <c r="B318" s="1" t="str">
        <f t="shared" si="18"/>
        <v>5434</v>
      </c>
      <c r="C318" t="s">
        <v>1697</v>
      </c>
      <c r="D318" t="s">
        <v>1060</v>
      </c>
      <c r="E318" t="str">
        <f t="shared" si="19"/>
        <v>pUmem_Cmd_JogIncMove(20)-&gt;i.user:$5434</v>
      </c>
    </row>
    <row r="319" spans="1:5" x14ac:dyDescent="0.3">
      <c r="A319" s="1">
        <v>21636</v>
      </c>
      <c r="B319" s="1" t="str">
        <f t="shared" si="18"/>
        <v>5484</v>
      </c>
      <c r="C319" t="s">
        <v>1698</v>
      </c>
      <c r="D319" t="s">
        <v>1060</v>
      </c>
      <c r="E319" t="str">
        <f t="shared" si="19"/>
        <v>pUmem_Cmd_JogIncMove(21)-&gt;i.user:$5484</v>
      </c>
    </row>
    <row r="320" spans="1:5" x14ac:dyDescent="0.3">
      <c r="A320" s="1">
        <v>21716</v>
      </c>
      <c r="B320" s="1" t="str">
        <f t="shared" si="18"/>
        <v>54D4</v>
      </c>
      <c r="C320" t="s">
        <v>1699</v>
      </c>
      <c r="D320" t="s">
        <v>1060</v>
      </c>
      <c r="E320" t="str">
        <f t="shared" si="19"/>
        <v>pUmem_Cmd_JogIncMove(22)-&gt;i.user:$54D4</v>
      </c>
    </row>
    <row r="321" spans="1:5" x14ac:dyDescent="0.3">
      <c r="A321" s="1">
        <v>21796</v>
      </c>
      <c r="B321" s="1" t="str">
        <f t="shared" si="18"/>
        <v>5524</v>
      </c>
      <c r="C321" t="s">
        <v>1700</v>
      </c>
      <c r="D321" t="s">
        <v>1060</v>
      </c>
      <c r="E321" t="str">
        <f t="shared" si="19"/>
        <v>pUmem_Cmd_JogIncMove(23)-&gt;i.user:$5524</v>
      </c>
    </row>
    <row r="322" spans="1:5" x14ac:dyDescent="0.3">
      <c r="A322" s="1">
        <v>21876</v>
      </c>
      <c r="B322" s="1" t="str">
        <f t="shared" si="18"/>
        <v>5574</v>
      </c>
      <c r="C322" t="s">
        <v>1701</v>
      </c>
      <c r="D322" t="s">
        <v>1060</v>
      </c>
      <c r="E322" t="str">
        <f t="shared" si="19"/>
        <v>pUmem_Cmd_JogIncMove(24)-&gt;i.user:$5574</v>
      </c>
    </row>
    <row r="323" spans="1:5" x14ac:dyDescent="0.3">
      <c r="A323" s="1">
        <v>21956</v>
      </c>
      <c r="B323" s="1" t="str">
        <f t="shared" si="18"/>
        <v>55C4</v>
      </c>
      <c r="C323" t="s">
        <v>1702</v>
      </c>
      <c r="D323" t="s">
        <v>1060</v>
      </c>
      <c r="E323" t="str">
        <f t="shared" si="19"/>
        <v>pUmem_Cmd_JogIncMove(25)-&gt;i.user:$55C4</v>
      </c>
    </row>
    <row r="324" spans="1:5" x14ac:dyDescent="0.3">
      <c r="A324" s="1">
        <v>22036</v>
      </c>
      <c r="B324" s="1" t="str">
        <f t="shared" si="18"/>
        <v>5614</v>
      </c>
      <c r="C324" t="s">
        <v>1703</v>
      </c>
      <c r="D324" t="s">
        <v>1060</v>
      </c>
      <c r="E324" t="str">
        <f t="shared" si="19"/>
        <v>pUmem_Cmd_JogIncMove(26)-&gt;i.user:$5614</v>
      </c>
    </row>
    <row r="325" spans="1:5" x14ac:dyDescent="0.3">
      <c r="A325" s="1">
        <v>22116</v>
      </c>
      <c r="B325" s="1" t="str">
        <f t="shared" si="18"/>
        <v>5664</v>
      </c>
      <c r="C325" t="s">
        <v>1704</v>
      </c>
      <c r="D325" t="s">
        <v>1060</v>
      </c>
      <c r="E325" t="str">
        <f t="shared" si="19"/>
        <v>pUmem_Cmd_JogIncMove(27)-&gt;i.user:$5664</v>
      </c>
    </row>
    <row r="326" spans="1:5" x14ac:dyDescent="0.3">
      <c r="A326" s="1">
        <v>22196</v>
      </c>
      <c r="B326" s="1" t="str">
        <f t="shared" si="18"/>
        <v>56B4</v>
      </c>
      <c r="C326" t="s">
        <v>1705</v>
      </c>
      <c r="D326" t="s">
        <v>1060</v>
      </c>
      <c r="E326" t="str">
        <f t="shared" si="19"/>
        <v>pUmem_Cmd_JogIncMove(28)-&gt;i.user:$56B4</v>
      </c>
    </row>
    <row r="327" spans="1:5" x14ac:dyDescent="0.3">
      <c r="A327" s="1">
        <v>22276</v>
      </c>
      <c r="B327" s="1" t="str">
        <f t="shared" si="18"/>
        <v>5704</v>
      </c>
      <c r="C327" t="s">
        <v>1706</v>
      </c>
      <c r="D327" t="s">
        <v>1060</v>
      </c>
      <c r="E327" t="str">
        <f t="shared" si="19"/>
        <v>pUmem_Cmd_JogIncMove(29)-&gt;i.user:$5704</v>
      </c>
    </row>
    <row r="328" spans="1:5" x14ac:dyDescent="0.3">
      <c r="A328" s="1">
        <v>22356</v>
      </c>
      <c r="B328" s="1" t="str">
        <f t="shared" si="18"/>
        <v>5754</v>
      </c>
      <c r="C328" t="s">
        <v>1707</v>
      </c>
      <c r="D328" t="s">
        <v>1060</v>
      </c>
      <c r="E328" t="str">
        <f t="shared" si="19"/>
        <v>pUmem_Cmd_JogIncMove(30)-&gt;i.user:$5754</v>
      </c>
    </row>
    <row r="329" spans="1:5" x14ac:dyDescent="0.3">
      <c r="A329" s="1">
        <v>22436</v>
      </c>
      <c r="B329" s="1" t="str">
        <f t="shared" si="18"/>
        <v>57A4</v>
      </c>
      <c r="C329" t="s">
        <v>1708</v>
      </c>
      <c r="D329" t="s">
        <v>1060</v>
      </c>
      <c r="E329" t="str">
        <f t="shared" si="19"/>
        <v>pUmem_Cmd_JogIncMove(31)-&gt;i.user:$57A4</v>
      </c>
    </row>
    <row r="330" spans="1:5" x14ac:dyDescent="0.3">
      <c r="A330" s="1">
        <v>22516</v>
      </c>
      <c r="B330" s="1" t="str">
        <f t="shared" si="18"/>
        <v>57F4</v>
      </c>
      <c r="C330" t="s">
        <v>1709</v>
      </c>
      <c r="D330" t="s">
        <v>1060</v>
      </c>
      <c r="E330" t="str">
        <f t="shared" si="19"/>
        <v>pUmem_Cmd_JogIncMove(32)-&gt;i.user:$57F4</v>
      </c>
    </row>
    <row r="332" spans="1:5" x14ac:dyDescent="0.3">
      <c r="A332" s="1">
        <v>20040</v>
      </c>
      <c r="B332" s="1" t="str">
        <f>DEC2HEX(A332)</f>
        <v>4E48</v>
      </c>
      <c r="C332" t="s">
        <v>1519</v>
      </c>
      <c r="D332" t="s">
        <v>1060</v>
      </c>
      <c r="E332" t="str">
        <f>C332&amp;D332&amp;B332</f>
        <v>pUmem_Cmd_JogAbsPos(01)-&gt;i.user:$4E48</v>
      </c>
    </row>
    <row r="333" spans="1:5" x14ac:dyDescent="0.3">
      <c r="A333" s="1">
        <v>20120</v>
      </c>
      <c r="B333" s="1" t="str">
        <f t="shared" ref="B333:B363" si="20">DEC2HEX(A333)</f>
        <v>4E98</v>
      </c>
      <c r="C333" t="s">
        <v>1648</v>
      </c>
      <c r="D333" t="s">
        <v>1060</v>
      </c>
      <c r="E333" t="str">
        <f t="shared" ref="E333:E363" si="21">C333&amp;D333&amp;B333</f>
        <v>pUmem_Cmd_JogAbsPos(02)-&gt;i.user:$4E98</v>
      </c>
    </row>
    <row r="334" spans="1:5" x14ac:dyDescent="0.3">
      <c r="A334" s="1">
        <v>20200</v>
      </c>
      <c r="B334" s="1" t="str">
        <f t="shared" si="20"/>
        <v>4EE8</v>
      </c>
      <c r="C334" t="s">
        <v>1649</v>
      </c>
      <c r="D334" t="s">
        <v>1060</v>
      </c>
      <c r="E334" t="str">
        <f t="shared" si="21"/>
        <v>pUmem_Cmd_JogAbsPos(03)-&gt;i.user:$4EE8</v>
      </c>
    </row>
    <row r="335" spans="1:5" x14ac:dyDescent="0.3">
      <c r="A335" s="1">
        <v>20280</v>
      </c>
      <c r="B335" s="1" t="str">
        <f t="shared" si="20"/>
        <v>4F38</v>
      </c>
      <c r="C335" t="s">
        <v>1650</v>
      </c>
      <c r="D335" t="s">
        <v>1060</v>
      </c>
      <c r="E335" t="str">
        <f t="shared" si="21"/>
        <v>pUmem_Cmd_JogAbsPos(04)-&gt;i.user:$4F38</v>
      </c>
    </row>
    <row r="336" spans="1:5" x14ac:dyDescent="0.3">
      <c r="A336" s="1">
        <v>20360</v>
      </c>
      <c r="B336" s="1" t="str">
        <f t="shared" si="20"/>
        <v>4F88</v>
      </c>
      <c r="C336" t="s">
        <v>1651</v>
      </c>
      <c r="D336" t="s">
        <v>1060</v>
      </c>
      <c r="E336" t="str">
        <f t="shared" si="21"/>
        <v>pUmem_Cmd_JogAbsPos(05)-&gt;i.user:$4F88</v>
      </c>
    </row>
    <row r="337" spans="1:5" x14ac:dyDescent="0.3">
      <c r="A337" s="1">
        <v>20440</v>
      </c>
      <c r="B337" s="1" t="str">
        <f t="shared" si="20"/>
        <v>4FD8</v>
      </c>
      <c r="C337" t="s">
        <v>1652</v>
      </c>
      <c r="D337" t="s">
        <v>1060</v>
      </c>
      <c r="E337" t="str">
        <f t="shared" si="21"/>
        <v>pUmem_Cmd_JogAbsPos(06)-&gt;i.user:$4FD8</v>
      </c>
    </row>
    <row r="338" spans="1:5" x14ac:dyDescent="0.3">
      <c r="A338" s="1">
        <v>20520</v>
      </c>
      <c r="B338" s="1" t="str">
        <f t="shared" si="20"/>
        <v>5028</v>
      </c>
      <c r="C338" t="s">
        <v>1653</v>
      </c>
      <c r="D338" t="s">
        <v>1060</v>
      </c>
      <c r="E338" t="str">
        <f t="shared" si="21"/>
        <v>pUmem_Cmd_JogAbsPos(07)-&gt;i.user:$5028</v>
      </c>
    </row>
    <row r="339" spans="1:5" x14ac:dyDescent="0.3">
      <c r="A339" s="1">
        <v>20600</v>
      </c>
      <c r="B339" s="1" t="str">
        <f t="shared" si="20"/>
        <v>5078</v>
      </c>
      <c r="C339" t="s">
        <v>1654</v>
      </c>
      <c r="D339" t="s">
        <v>1060</v>
      </c>
      <c r="E339" t="str">
        <f t="shared" si="21"/>
        <v>pUmem_Cmd_JogAbsPos(08)-&gt;i.user:$5078</v>
      </c>
    </row>
    <row r="340" spans="1:5" x14ac:dyDescent="0.3">
      <c r="A340" s="1">
        <v>20680</v>
      </c>
      <c r="B340" s="1" t="str">
        <f t="shared" si="20"/>
        <v>50C8</v>
      </c>
      <c r="C340" t="s">
        <v>1655</v>
      </c>
      <c r="D340" t="s">
        <v>1060</v>
      </c>
      <c r="E340" t="str">
        <f t="shared" si="21"/>
        <v>pUmem_Cmd_JogAbsPos(09)-&gt;i.user:$50C8</v>
      </c>
    </row>
    <row r="341" spans="1:5" x14ac:dyDescent="0.3">
      <c r="A341" s="1">
        <v>20760</v>
      </c>
      <c r="B341" s="1" t="str">
        <f t="shared" si="20"/>
        <v>5118</v>
      </c>
      <c r="C341" t="s">
        <v>1656</v>
      </c>
      <c r="D341" t="s">
        <v>1060</v>
      </c>
      <c r="E341" t="str">
        <f t="shared" si="21"/>
        <v>pUmem_Cmd_JogAbsPos(10)-&gt;i.user:$5118</v>
      </c>
    </row>
    <row r="342" spans="1:5" x14ac:dyDescent="0.3">
      <c r="A342" s="1">
        <v>20840</v>
      </c>
      <c r="B342" s="1" t="str">
        <f t="shared" si="20"/>
        <v>5168</v>
      </c>
      <c r="C342" t="s">
        <v>1657</v>
      </c>
      <c r="D342" t="s">
        <v>1060</v>
      </c>
      <c r="E342" t="str">
        <f t="shared" si="21"/>
        <v>pUmem_Cmd_JogAbsPos(11)-&gt;i.user:$5168</v>
      </c>
    </row>
    <row r="343" spans="1:5" x14ac:dyDescent="0.3">
      <c r="A343" s="1">
        <v>20920</v>
      </c>
      <c r="B343" s="1" t="str">
        <f t="shared" si="20"/>
        <v>51B8</v>
      </c>
      <c r="C343" t="s">
        <v>1658</v>
      </c>
      <c r="D343" t="s">
        <v>1060</v>
      </c>
      <c r="E343" t="str">
        <f t="shared" si="21"/>
        <v>pUmem_Cmd_JogAbsPos(12)-&gt;i.user:$51B8</v>
      </c>
    </row>
    <row r="344" spans="1:5" x14ac:dyDescent="0.3">
      <c r="A344" s="1">
        <v>21000</v>
      </c>
      <c r="B344" s="1" t="str">
        <f t="shared" si="20"/>
        <v>5208</v>
      </c>
      <c r="C344" t="s">
        <v>1659</v>
      </c>
      <c r="D344" t="s">
        <v>1060</v>
      </c>
      <c r="E344" t="str">
        <f t="shared" si="21"/>
        <v>pUmem_Cmd_JogAbsPos(13)-&gt;i.user:$5208</v>
      </c>
    </row>
    <row r="345" spans="1:5" x14ac:dyDescent="0.3">
      <c r="A345" s="1">
        <v>21080</v>
      </c>
      <c r="B345" s="1" t="str">
        <f t="shared" si="20"/>
        <v>5258</v>
      </c>
      <c r="C345" t="s">
        <v>1660</v>
      </c>
      <c r="D345" t="s">
        <v>1060</v>
      </c>
      <c r="E345" t="str">
        <f t="shared" si="21"/>
        <v>pUmem_Cmd_JogAbsPos(14)-&gt;i.user:$5258</v>
      </c>
    </row>
    <row r="346" spans="1:5" x14ac:dyDescent="0.3">
      <c r="A346" s="1">
        <v>21160</v>
      </c>
      <c r="B346" s="1" t="str">
        <f t="shared" si="20"/>
        <v>52A8</v>
      </c>
      <c r="C346" t="s">
        <v>1661</v>
      </c>
      <c r="D346" t="s">
        <v>1060</v>
      </c>
      <c r="E346" t="str">
        <f t="shared" si="21"/>
        <v>pUmem_Cmd_JogAbsPos(15)-&gt;i.user:$52A8</v>
      </c>
    </row>
    <row r="347" spans="1:5" x14ac:dyDescent="0.3">
      <c r="A347" s="1">
        <v>21240</v>
      </c>
      <c r="B347" s="1" t="str">
        <f t="shared" si="20"/>
        <v>52F8</v>
      </c>
      <c r="C347" t="s">
        <v>1662</v>
      </c>
      <c r="D347" t="s">
        <v>1060</v>
      </c>
      <c r="E347" t="str">
        <f t="shared" si="21"/>
        <v>pUmem_Cmd_JogAbsPos(16)-&gt;i.user:$52F8</v>
      </c>
    </row>
    <row r="348" spans="1:5" x14ac:dyDescent="0.3">
      <c r="A348" s="1">
        <v>21320</v>
      </c>
      <c r="B348" s="1" t="str">
        <f t="shared" si="20"/>
        <v>5348</v>
      </c>
      <c r="C348" t="s">
        <v>1663</v>
      </c>
      <c r="D348" t="s">
        <v>1060</v>
      </c>
      <c r="E348" t="str">
        <f t="shared" si="21"/>
        <v>pUmem_Cmd_JogAbsPos(17)-&gt;i.user:$5348</v>
      </c>
    </row>
    <row r="349" spans="1:5" x14ac:dyDescent="0.3">
      <c r="A349" s="1">
        <v>21400</v>
      </c>
      <c r="B349" s="1" t="str">
        <f t="shared" si="20"/>
        <v>5398</v>
      </c>
      <c r="C349" t="s">
        <v>1664</v>
      </c>
      <c r="D349" t="s">
        <v>1060</v>
      </c>
      <c r="E349" t="str">
        <f t="shared" si="21"/>
        <v>pUmem_Cmd_JogAbsPos(18)-&gt;i.user:$5398</v>
      </c>
    </row>
    <row r="350" spans="1:5" x14ac:dyDescent="0.3">
      <c r="A350" s="1">
        <v>21480</v>
      </c>
      <c r="B350" s="1" t="str">
        <f t="shared" si="20"/>
        <v>53E8</v>
      </c>
      <c r="C350" t="s">
        <v>1665</v>
      </c>
      <c r="D350" t="s">
        <v>1060</v>
      </c>
      <c r="E350" t="str">
        <f t="shared" si="21"/>
        <v>pUmem_Cmd_JogAbsPos(19)-&gt;i.user:$53E8</v>
      </c>
    </row>
    <row r="351" spans="1:5" x14ac:dyDescent="0.3">
      <c r="A351" s="1">
        <v>21560</v>
      </c>
      <c r="B351" s="1" t="str">
        <f t="shared" si="20"/>
        <v>5438</v>
      </c>
      <c r="C351" t="s">
        <v>1666</v>
      </c>
      <c r="D351" t="s">
        <v>1060</v>
      </c>
      <c r="E351" t="str">
        <f t="shared" si="21"/>
        <v>pUmem_Cmd_JogAbsPos(20)-&gt;i.user:$5438</v>
      </c>
    </row>
    <row r="352" spans="1:5" x14ac:dyDescent="0.3">
      <c r="A352" s="1">
        <v>21640</v>
      </c>
      <c r="B352" s="1" t="str">
        <f t="shared" si="20"/>
        <v>5488</v>
      </c>
      <c r="C352" t="s">
        <v>1667</v>
      </c>
      <c r="D352" t="s">
        <v>1060</v>
      </c>
      <c r="E352" t="str">
        <f t="shared" si="21"/>
        <v>pUmem_Cmd_JogAbsPos(21)-&gt;i.user:$5488</v>
      </c>
    </row>
    <row r="353" spans="1:5" x14ac:dyDescent="0.3">
      <c r="A353" s="1">
        <v>21720</v>
      </c>
      <c r="B353" s="1" t="str">
        <f t="shared" si="20"/>
        <v>54D8</v>
      </c>
      <c r="C353" t="s">
        <v>1668</v>
      </c>
      <c r="D353" t="s">
        <v>1060</v>
      </c>
      <c r="E353" t="str">
        <f t="shared" si="21"/>
        <v>pUmem_Cmd_JogAbsPos(22)-&gt;i.user:$54D8</v>
      </c>
    </row>
    <row r="354" spans="1:5" x14ac:dyDescent="0.3">
      <c r="A354" s="1">
        <v>21800</v>
      </c>
      <c r="B354" s="1" t="str">
        <f t="shared" si="20"/>
        <v>5528</v>
      </c>
      <c r="C354" t="s">
        <v>1669</v>
      </c>
      <c r="D354" t="s">
        <v>1060</v>
      </c>
      <c r="E354" t="str">
        <f t="shared" si="21"/>
        <v>pUmem_Cmd_JogAbsPos(23)-&gt;i.user:$5528</v>
      </c>
    </row>
    <row r="355" spans="1:5" x14ac:dyDescent="0.3">
      <c r="A355" s="1">
        <v>21880</v>
      </c>
      <c r="B355" s="1" t="str">
        <f t="shared" si="20"/>
        <v>5578</v>
      </c>
      <c r="C355" t="s">
        <v>1670</v>
      </c>
      <c r="D355" t="s">
        <v>1060</v>
      </c>
      <c r="E355" t="str">
        <f t="shared" si="21"/>
        <v>pUmem_Cmd_JogAbsPos(24)-&gt;i.user:$5578</v>
      </c>
    </row>
    <row r="356" spans="1:5" x14ac:dyDescent="0.3">
      <c r="A356" s="1">
        <v>21960</v>
      </c>
      <c r="B356" s="1" t="str">
        <f t="shared" si="20"/>
        <v>55C8</v>
      </c>
      <c r="C356" t="s">
        <v>1671</v>
      </c>
      <c r="D356" t="s">
        <v>1060</v>
      </c>
      <c r="E356" t="str">
        <f t="shared" si="21"/>
        <v>pUmem_Cmd_JogAbsPos(25)-&gt;i.user:$55C8</v>
      </c>
    </row>
    <row r="357" spans="1:5" x14ac:dyDescent="0.3">
      <c r="A357" s="1">
        <v>22040</v>
      </c>
      <c r="B357" s="1" t="str">
        <f t="shared" si="20"/>
        <v>5618</v>
      </c>
      <c r="C357" t="s">
        <v>1672</v>
      </c>
      <c r="D357" t="s">
        <v>1060</v>
      </c>
      <c r="E357" t="str">
        <f t="shared" si="21"/>
        <v>pUmem_Cmd_JogAbsPos(26)-&gt;i.user:$5618</v>
      </c>
    </row>
    <row r="358" spans="1:5" x14ac:dyDescent="0.3">
      <c r="A358" s="1">
        <v>22120</v>
      </c>
      <c r="B358" s="1" t="str">
        <f t="shared" si="20"/>
        <v>5668</v>
      </c>
      <c r="C358" t="s">
        <v>1673</v>
      </c>
      <c r="D358" t="s">
        <v>1060</v>
      </c>
      <c r="E358" t="str">
        <f t="shared" si="21"/>
        <v>pUmem_Cmd_JogAbsPos(27)-&gt;i.user:$5668</v>
      </c>
    </row>
    <row r="359" spans="1:5" x14ac:dyDescent="0.3">
      <c r="A359" s="1">
        <v>22200</v>
      </c>
      <c r="B359" s="1" t="str">
        <f t="shared" si="20"/>
        <v>56B8</v>
      </c>
      <c r="C359" t="s">
        <v>1674</v>
      </c>
      <c r="D359" t="s">
        <v>1060</v>
      </c>
      <c r="E359" t="str">
        <f t="shared" si="21"/>
        <v>pUmem_Cmd_JogAbsPos(28)-&gt;i.user:$56B8</v>
      </c>
    </row>
    <row r="360" spans="1:5" x14ac:dyDescent="0.3">
      <c r="A360" s="1">
        <v>22280</v>
      </c>
      <c r="B360" s="1" t="str">
        <f t="shared" si="20"/>
        <v>5708</v>
      </c>
      <c r="C360" t="s">
        <v>1675</v>
      </c>
      <c r="D360" t="s">
        <v>1060</v>
      </c>
      <c r="E360" t="str">
        <f t="shared" si="21"/>
        <v>pUmem_Cmd_JogAbsPos(29)-&gt;i.user:$5708</v>
      </c>
    </row>
    <row r="361" spans="1:5" x14ac:dyDescent="0.3">
      <c r="A361" s="1">
        <v>22360</v>
      </c>
      <c r="B361" s="1" t="str">
        <f t="shared" si="20"/>
        <v>5758</v>
      </c>
      <c r="C361" t="s">
        <v>1676</v>
      </c>
      <c r="D361" t="s">
        <v>1060</v>
      </c>
      <c r="E361" t="str">
        <f t="shared" si="21"/>
        <v>pUmem_Cmd_JogAbsPos(30)-&gt;i.user:$5758</v>
      </c>
    </row>
    <row r="362" spans="1:5" x14ac:dyDescent="0.3">
      <c r="A362" s="1">
        <v>22440</v>
      </c>
      <c r="B362" s="1" t="str">
        <f t="shared" si="20"/>
        <v>57A8</v>
      </c>
      <c r="C362" t="s">
        <v>1677</v>
      </c>
      <c r="D362" t="s">
        <v>1060</v>
      </c>
      <c r="E362" t="str">
        <f t="shared" si="21"/>
        <v>pUmem_Cmd_JogAbsPos(31)-&gt;i.user:$57A8</v>
      </c>
    </row>
    <row r="363" spans="1:5" x14ac:dyDescent="0.3">
      <c r="A363" s="1">
        <v>22520</v>
      </c>
      <c r="B363" s="1" t="str">
        <f t="shared" si="20"/>
        <v>57F8</v>
      </c>
      <c r="C363" t="s">
        <v>1678</v>
      </c>
      <c r="D363" t="s">
        <v>1060</v>
      </c>
      <c r="E363" t="str">
        <f t="shared" si="21"/>
        <v>pUmem_Cmd_JogAbsPos(32)-&gt;i.user:$57F8</v>
      </c>
    </row>
    <row r="365" spans="1:5" x14ac:dyDescent="0.3">
      <c r="A365" s="1">
        <v>20044</v>
      </c>
      <c r="B365" s="1" t="str">
        <f>DEC2HEX(A365)</f>
        <v>4E4C</v>
      </c>
      <c r="C365" t="s">
        <v>1520</v>
      </c>
      <c r="D365" t="s">
        <v>1060</v>
      </c>
      <c r="E365" t="str">
        <f>C365&amp;D365&amp;B365</f>
        <v>pUmem_Cmd_JogIncDist(01)-&gt;i.user:$4E4C</v>
      </c>
    </row>
    <row r="366" spans="1:5" x14ac:dyDescent="0.3">
      <c r="A366" s="1">
        <v>20124</v>
      </c>
      <c r="B366" s="1" t="str">
        <f t="shared" ref="B366:B396" si="22">DEC2HEX(A366)</f>
        <v>4E9C</v>
      </c>
      <c r="C366" t="s">
        <v>1617</v>
      </c>
      <c r="D366" t="s">
        <v>1060</v>
      </c>
      <c r="E366" t="str">
        <f t="shared" ref="E366:E396" si="23">C366&amp;D366&amp;B366</f>
        <v>pUmem_Cmd_JogIncDist(02)-&gt;i.user:$4E9C</v>
      </c>
    </row>
    <row r="367" spans="1:5" x14ac:dyDescent="0.3">
      <c r="A367" s="1">
        <v>20204</v>
      </c>
      <c r="B367" s="1" t="str">
        <f t="shared" si="22"/>
        <v>4EEC</v>
      </c>
      <c r="C367" t="s">
        <v>1618</v>
      </c>
      <c r="D367" t="s">
        <v>1060</v>
      </c>
      <c r="E367" t="str">
        <f t="shared" si="23"/>
        <v>pUmem_Cmd_JogIncDist(03)-&gt;i.user:$4EEC</v>
      </c>
    </row>
    <row r="368" spans="1:5" x14ac:dyDescent="0.3">
      <c r="A368" s="1">
        <v>20284</v>
      </c>
      <c r="B368" s="1" t="str">
        <f t="shared" si="22"/>
        <v>4F3C</v>
      </c>
      <c r="C368" t="s">
        <v>1619</v>
      </c>
      <c r="D368" t="s">
        <v>1060</v>
      </c>
      <c r="E368" t="str">
        <f t="shared" si="23"/>
        <v>pUmem_Cmd_JogIncDist(04)-&gt;i.user:$4F3C</v>
      </c>
    </row>
    <row r="369" spans="1:5" x14ac:dyDescent="0.3">
      <c r="A369" s="1">
        <v>20364</v>
      </c>
      <c r="B369" s="1" t="str">
        <f t="shared" si="22"/>
        <v>4F8C</v>
      </c>
      <c r="C369" t="s">
        <v>1620</v>
      </c>
      <c r="D369" t="s">
        <v>1060</v>
      </c>
      <c r="E369" t="str">
        <f t="shared" si="23"/>
        <v>pUmem_Cmd_JogIncDist(05)-&gt;i.user:$4F8C</v>
      </c>
    </row>
    <row r="370" spans="1:5" x14ac:dyDescent="0.3">
      <c r="A370" s="1">
        <v>20444</v>
      </c>
      <c r="B370" s="1" t="str">
        <f t="shared" si="22"/>
        <v>4FDC</v>
      </c>
      <c r="C370" t="s">
        <v>1621</v>
      </c>
      <c r="D370" t="s">
        <v>1060</v>
      </c>
      <c r="E370" t="str">
        <f t="shared" si="23"/>
        <v>pUmem_Cmd_JogIncDist(06)-&gt;i.user:$4FDC</v>
      </c>
    </row>
    <row r="371" spans="1:5" x14ac:dyDescent="0.3">
      <c r="A371" s="1">
        <v>20524</v>
      </c>
      <c r="B371" s="1" t="str">
        <f t="shared" si="22"/>
        <v>502C</v>
      </c>
      <c r="C371" t="s">
        <v>1622</v>
      </c>
      <c r="D371" t="s">
        <v>1060</v>
      </c>
      <c r="E371" t="str">
        <f t="shared" si="23"/>
        <v>pUmem_Cmd_JogIncDist(07)-&gt;i.user:$502C</v>
      </c>
    </row>
    <row r="372" spans="1:5" x14ac:dyDescent="0.3">
      <c r="A372" s="1">
        <v>20604</v>
      </c>
      <c r="B372" s="1" t="str">
        <f t="shared" si="22"/>
        <v>507C</v>
      </c>
      <c r="C372" t="s">
        <v>1623</v>
      </c>
      <c r="D372" t="s">
        <v>1060</v>
      </c>
      <c r="E372" t="str">
        <f t="shared" si="23"/>
        <v>pUmem_Cmd_JogIncDist(08)-&gt;i.user:$507C</v>
      </c>
    </row>
    <row r="373" spans="1:5" x14ac:dyDescent="0.3">
      <c r="A373" s="1">
        <v>20684</v>
      </c>
      <c r="B373" s="1" t="str">
        <f t="shared" si="22"/>
        <v>50CC</v>
      </c>
      <c r="C373" t="s">
        <v>1624</v>
      </c>
      <c r="D373" t="s">
        <v>1060</v>
      </c>
      <c r="E373" t="str">
        <f t="shared" si="23"/>
        <v>pUmem_Cmd_JogIncDist(09)-&gt;i.user:$50CC</v>
      </c>
    </row>
    <row r="374" spans="1:5" x14ac:dyDescent="0.3">
      <c r="A374" s="1">
        <v>20764</v>
      </c>
      <c r="B374" s="1" t="str">
        <f t="shared" si="22"/>
        <v>511C</v>
      </c>
      <c r="C374" t="s">
        <v>1625</v>
      </c>
      <c r="D374" t="s">
        <v>1060</v>
      </c>
      <c r="E374" t="str">
        <f t="shared" si="23"/>
        <v>pUmem_Cmd_JogIncDist(10)-&gt;i.user:$511C</v>
      </c>
    </row>
    <row r="375" spans="1:5" x14ac:dyDescent="0.3">
      <c r="A375" s="1">
        <v>20844</v>
      </c>
      <c r="B375" s="1" t="str">
        <f t="shared" si="22"/>
        <v>516C</v>
      </c>
      <c r="C375" t="s">
        <v>1626</v>
      </c>
      <c r="D375" t="s">
        <v>1060</v>
      </c>
      <c r="E375" t="str">
        <f t="shared" si="23"/>
        <v>pUmem_Cmd_JogIncDist(11)-&gt;i.user:$516C</v>
      </c>
    </row>
    <row r="376" spans="1:5" x14ac:dyDescent="0.3">
      <c r="A376" s="1">
        <v>20924</v>
      </c>
      <c r="B376" s="1" t="str">
        <f t="shared" si="22"/>
        <v>51BC</v>
      </c>
      <c r="C376" t="s">
        <v>1627</v>
      </c>
      <c r="D376" t="s">
        <v>1060</v>
      </c>
      <c r="E376" t="str">
        <f t="shared" si="23"/>
        <v>pUmem_Cmd_JogIncDist(12)-&gt;i.user:$51BC</v>
      </c>
    </row>
    <row r="377" spans="1:5" x14ac:dyDescent="0.3">
      <c r="A377" s="1">
        <v>21004</v>
      </c>
      <c r="B377" s="1" t="str">
        <f t="shared" si="22"/>
        <v>520C</v>
      </c>
      <c r="C377" t="s">
        <v>1628</v>
      </c>
      <c r="D377" t="s">
        <v>1060</v>
      </c>
      <c r="E377" t="str">
        <f t="shared" si="23"/>
        <v>pUmem_Cmd_JogIncDist(13)-&gt;i.user:$520C</v>
      </c>
    </row>
    <row r="378" spans="1:5" x14ac:dyDescent="0.3">
      <c r="A378" s="1">
        <v>21084</v>
      </c>
      <c r="B378" s="1" t="str">
        <f t="shared" si="22"/>
        <v>525C</v>
      </c>
      <c r="C378" t="s">
        <v>1629</v>
      </c>
      <c r="D378" t="s">
        <v>1060</v>
      </c>
      <c r="E378" t="str">
        <f t="shared" si="23"/>
        <v>pUmem_Cmd_JogIncDist(14)-&gt;i.user:$525C</v>
      </c>
    </row>
    <row r="379" spans="1:5" x14ac:dyDescent="0.3">
      <c r="A379" s="1">
        <v>21164</v>
      </c>
      <c r="B379" s="1" t="str">
        <f t="shared" si="22"/>
        <v>52AC</v>
      </c>
      <c r="C379" t="s">
        <v>1630</v>
      </c>
      <c r="D379" t="s">
        <v>1060</v>
      </c>
      <c r="E379" t="str">
        <f t="shared" si="23"/>
        <v>pUmem_Cmd_JogIncDist(15)-&gt;i.user:$52AC</v>
      </c>
    </row>
    <row r="380" spans="1:5" x14ac:dyDescent="0.3">
      <c r="A380" s="1">
        <v>21244</v>
      </c>
      <c r="B380" s="1" t="str">
        <f t="shared" si="22"/>
        <v>52FC</v>
      </c>
      <c r="C380" t="s">
        <v>1631</v>
      </c>
      <c r="D380" t="s">
        <v>1060</v>
      </c>
      <c r="E380" t="str">
        <f t="shared" si="23"/>
        <v>pUmem_Cmd_JogIncDist(16)-&gt;i.user:$52FC</v>
      </c>
    </row>
    <row r="381" spans="1:5" x14ac:dyDescent="0.3">
      <c r="A381" s="1">
        <v>21324</v>
      </c>
      <c r="B381" s="1" t="str">
        <f t="shared" si="22"/>
        <v>534C</v>
      </c>
      <c r="C381" t="s">
        <v>1632</v>
      </c>
      <c r="D381" t="s">
        <v>1060</v>
      </c>
      <c r="E381" t="str">
        <f t="shared" si="23"/>
        <v>pUmem_Cmd_JogIncDist(17)-&gt;i.user:$534C</v>
      </c>
    </row>
    <row r="382" spans="1:5" x14ac:dyDescent="0.3">
      <c r="A382" s="1">
        <v>21404</v>
      </c>
      <c r="B382" s="1" t="str">
        <f t="shared" si="22"/>
        <v>539C</v>
      </c>
      <c r="C382" t="s">
        <v>1633</v>
      </c>
      <c r="D382" t="s">
        <v>1060</v>
      </c>
      <c r="E382" t="str">
        <f t="shared" si="23"/>
        <v>pUmem_Cmd_JogIncDist(18)-&gt;i.user:$539C</v>
      </c>
    </row>
    <row r="383" spans="1:5" x14ac:dyDescent="0.3">
      <c r="A383" s="1">
        <v>21484</v>
      </c>
      <c r="B383" s="1" t="str">
        <f t="shared" si="22"/>
        <v>53EC</v>
      </c>
      <c r="C383" t="s">
        <v>1634</v>
      </c>
      <c r="D383" t="s">
        <v>1060</v>
      </c>
      <c r="E383" t="str">
        <f t="shared" si="23"/>
        <v>pUmem_Cmd_JogIncDist(19)-&gt;i.user:$53EC</v>
      </c>
    </row>
    <row r="384" spans="1:5" x14ac:dyDescent="0.3">
      <c r="A384" s="1">
        <v>21564</v>
      </c>
      <c r="B384" s="1" t="str">
        <f t="shared" si="22"/>
        <v>543C</v>
      </c>
      <c r="C384" t="s">
        <v>1635</v>
      </c>
      <c r="D384" t="s">
        <v>1060</v>
      </c>
      <c r="E384" t="str">
        <f t="shared" si="23"/>
        <v>pUmem_Cmd_JogIncDist(20)-&gt;i.user:$543C</v>
      </c>
    </row>
    <row r="385" spans="1:5" x14ac:dyDescent="0.3">
      <c r="A385" s="1">
        <v>21644</v>
      </c>
      <c r="B385" s="1" t="str">
        <f t="shared" si="22"/>
        <v>548C</v>
      </c>
      <c r="C385" t="s">
        <v>1636</v>
      </c>
      <c r="D385" t="s">
        <v>1060</v>
      </c>
      <c r="E385" t="str">
        <f t="shared" si="23"/>
        <v>pUmem_Cmd_JogIncDist(21)-&gt;i.user:$548C</v>
      </c>
    </row>
    <row r="386" spans="1:5" x14ac:dyDescent="0.3">
      <c r="A386" s="1">
        <v>21724</v>
      </c>
      <c r="B386" s="1" t="str">
        <f t="shared" si="22"/>
        <v>54DC</v>
      </c>
      <c r="C386" t="s">
        <v>1637</v>
      </c>
      <c r="D386" t="s">
        <v>1060</v>
      </c>
      <c r="E386" t="str">
        <f t="shared" si="23"/>
        <v>pUmem_Cmd_JogIncDist(22)-&gt;i.user:$54DC</v>
      </c>
    </row>
    <row r="387" spans="1:5" x14ac:dyDescent="0.3">
      <c r="A387" s="1">
        <v>21804</v>
      </c>
      <c r="B387" s="1" t="str">
        <f t="shared" si="22"/>
        <v>552C</v>
      </c>
      <c r="C387" t="s">
        <v>1638</v>
      </c>
      <c r="D387" t="s">
        <v>1060</v>
      </c>
      <c r="E387" t="str">
        <f t="shared" si="23"/>
        <v>pUmem_Cmd_JogIncDist(23)-&gt;i.user:$552C</v>
      </c>
    </row>
    <row r="388" spans="1:5" x14ac:dyDescent="0.3">
      <c r="A388" s="1">
        <v>21884</v>
      </c>
      <c r="B388" s="1" t="str">
        <f t="shared" si="22"/>
        <v>557C</v>
      </c>
      <c r="C388" t="s">
        <v>1639</v>
      </c>
      <c r="D388" t="s">
        <v>1060</v>
      </c>
      <c r="E388" t="str">
        <f t="shared" si="23"/>
        <v>pUmem_Cmd_JogIncDist(24)-&gt;i.user:$557C</v>
      </c>
    </row>
    <row r="389" spans="1:5" x14ac:dyDescent="0.3">
      <c r="A389" s="1">
        <v>21964</v>
      </c>
      <c r="B389" s="1" t="str">
        <f t="shared" si="22"/>
        <v>55CC</v>
      </c>
      <c r="C389" t="s">
        <v>1640</v>
      </c>
      <c r="D389" t="s">
        <v>1060</v>
      </c>
      <c r="E389" t="str">
        <f t="shared" si="23"/>
        <v>pUmem_Cmd_JogIncDist(25)-&gt;i.user:$55CC</v>
      </c>
    </row>
    <row r="390" spans="1:5" x14ac:dyDescent="0.3">
      <c r="A390" s="1">
        <v>22044</v>
      </c>
      <c r="B390" s="1" t="str">
        <f t="shared" si="22"/>
        <v>561C</v>
      </c>
      <c r="C390" t="s">
        <v>1641</v>
      </c>
      <c r="D390" t="s">
        <v>1060</v>
      </c>
      <c r="E390" t="str">
        <f t="shared" si="23"/>
        <v>pUmem_Cmd_JogIncDist(26)-&gt;i.user:$561C</v>
      </c>
    </row>
    <row r="391" spans="1:5" x14ac:dyDescent="0.3">
      <c r="A391" s="1">
        <v>22124</v>
      </c>
      <c r="B391" s="1" t="str">
        <f t="shared" si="22"/>
        <v>566C</v>
      </c>
      <c r="C391" t="s">
        <v>1642</v>
      </c>
      <c r="D391" t="s">
        <v>1060</v>
      </c>
      <c r="E391" t="str">
        <f t="shared" si="23"/>
        <v>pUmem_Cmd_JogIncDist(27)-&gt;i.user:$566C</v>
      </c>
    </row>
    <row r="392" spans="1:5" x14ac:dyDescent="0.3">
      <c r="A392" s="1">
        <v>22204</v>
      </c>
      <c r="B392" s="1" t="str">
        <f t="shared" si="22"/>
        <v>56BC</v>
      </c>
      <c r="C392" t="s">
        <v>1643</v>
      </c>
      <c r="D392" t="s">
        <v>1060</v>
      </c>
      <c r="E392" t="str">
        <f t="shared" si="23"/>
        <v>pUmem_Cmd_JogIncDist(28)-&gt;i.user:$56BC</v>
      </c>
    </row>
    <row r="393" spans="1:5" x14ac:dyDescent="0.3">
      <c r="A393" s="1">
        <v>22284</v>
      </c>
      <c r="B393" s="1" t="str">
        <f t="shared" si="22"/>
        <v>570C</v>
      </c>
      <c r="C393" t="s">
        <v>1644</v>
      </c>
      <c r="D393" t="s">
        <v>1060</v>
      </c>
      <c r="E393" t="str">
        <f t="shared" si="23"/>
        <v>pUmem_Cmd_JogIncDist(29)-&gt;i.user:$570C</v>
      </c>
    </row>
    <row r="394" spans="1:5" x14ac:dyDescent="0.3">
      <c r="A394" s="1">
        <v>22364</v>
      </c>
      <c r="B394" s="1" t="str">
        <f t="shared" si="22"/>
        <v>575C</v>
      </c>
      <c r="C394" t="s">
        <v>1645</v>
      </c>
      <c r="D394" t="s">
        <v>1060</v>
      </c>
      <c r="E394" t="str">
        <f t="shared" si="23"/>
        <v>pUmem_Cmd_JogIncDist(30)-&gt;i.user:$575C</v>
      </c>
    </row>
    <row r="395" spans="1:5" x14ac:dyDescent="0.3">
      <c r="A395" s="1">
        <v>22444</v>
      </c>
      <c r="B395" s="1" t="str">
        <f t="shared" si="22"/>
        <v>57AC</v>
      </c>
      <c r="C395" t="s">
        <v>1646</v>
      </c>
      <c r="D395" t="s">
        <v>1060</v>
      </c>
      <c r="E395" t="str">
        <f t="shared" si="23"/>
        <v>pUmem_Cmd_JogIncDist(31)-&gt;i.user:$57AC</v>
      </c>
    </row>
    <row r="396" spans="1:5" x14ac:dyDescent="0.3">
      <c r="A396" s="1">
        <v>22524</v>
      </c>
      <c r="B396" s="1" t="str">
        <f t="shared" si="22"/>
        <v>57FC</v>
      </c>
      <c r="C396" t="s">
        <v>1647</v>
      </c>
      <c r="D396" t="s">
        <v>1060</v>
      </c>
      <c r="E396" t="str">
        <f t="shared" si="23"/>
        <v>pUmem_Cmd_JogIncDist(32)-&gt;i.user:$57FC</v>
      </c>
    </row>
    <row r="398" spans="1:5" x14ac:dyDescent="0.3">
      <c r="A398" s="1">
        <v>20048</v>
      </c>
      <c r="B398" s="1" t="str">
        <f>DEC2HEX(A398)</f>
        <v>4E50</v>
      </c>
      <c r="C398" t="s">
        <v>1521</v>
      </c>
      <c r="D398" t="s">
        <v>1060</v>
      </c>
      <c r="E398" t="str">
        <f>C398&amp;D398&amp;B398</f>
        <v>pUmem_Cmd_JogSpeed(01)-&gt;i.user:$4E50</v>
      </c>
    </row>
    <row r="399" spans="1:5" x14ac:dyDescent="0.3">
      <c r="A399" s="1">
        <v>20128</v>
      </c>
      <c r="B399" s="1" t="str">
        <f t="shared" ref="B399:B429" si="24">DEC2HEX(A399)</f>
        <v>4EA0</v>
      </c>
      <c r="C399" t="s">
        <v>1586</v>
      </c>
      <c r="D399" t="s">
        <v>1060</v>
      </c>
      <c r="E399" t="str">
        <f t="shared" ref="E399:E429" si="25">C399&amp;D399&amp;B399</f>
        <v>pUmem_Cmd_JogSpeed(02)-&gt;i.user:$4EA0</v>
      </c>
    </row>
    <row r="400" spans="1:5" x14ac:dyDescent="0.3">
      <c r="A400" s="1">
        <v>20208</v>
      </c>
      <c r="B400" s="1" t="str">
        <f t="shared" si="24"/>
        <v>4EF0</v>
      </c>
      <c r="C400" t="s">
        <v>1587</v>
      </c>
      <c r="D400" t="s">
        <v>1060</v>
      </c>
      <c r="E400" t="str">
        <f t="shared" si="25"/>
        <v>pUmem_Cmd_JogSpeed(03)-&gt;i.user:$4EF0</v>
      </c>
    </row>
    <row r="401" spans="1:5" x14ac:dyDescent="0.3">
      <c r="A401" s="1">
        <v>20288</v>
      </c>
      <c r="B401" s="1" t="str">
        <f t="shared" si="24"/>
        <v>4F40</v>
      </c>
      <c r="C401" t="s">
        <v>1588</v>
      </c>
      <c r="D401" t="s">
        <v>1060</v>
      </c>
      <c r="E401" t="str">
        <f t="shared" si="25"/>
        <v>pUmem_Cmd_JogSpeed(04)-&gt;i.user:$4F40</v>
      </c>
    </row>
    <row r="402" spans="1:5" x14ac:dyDescent="0.3">
      <c r="A402" s="1">
        <v>20368</v>
      </c>
      <c r="B402" s="1" t="str">
        <f t="shared" si="24"/>
        <v>4F90</v>
      </c>
      <c r="C402" t="s">
        <v>1589</v>
      </c>
      <c r="D402" t="s">
        <v>1060</v>
      </c>
      <c r="E402" t="str">
        <f t="shared" si="25"/>
        <v>pUmem_Cmd_JogSpeed(05)-&gt;i.user:$4F90</v>
      </c>
    </row>
    <row r="403" spans="1:5" x14ac:dyDescent="0.3">
      <c r="A403" s="1">
        <v>20448</v>
      </c>
      <c r="B403" s="1" t="str">
        <f t="shared" si="24"/>
        <v>4FE0</v>
      </c>
      <c r="C403" t="s">
        <v>1590</v>
      </c>
      <c r="D403" t="s">
        <v>1060</v>
      </c>
      <c r="E403" t="str">
        <f t="shared" si="25"/>
        <v>pUmem_Cmd_JogSpeed(06)-&gt;i.user:$4FE0</v>
      </c>
    </row>
    <row r="404" spans="1:5" x14ac:dyDescent="0.3">
      <c r="A404" s="1">
        <v>20528</v>
      </c>
      <c r="B404" s="1" t="str">
        <f t="shared" si="24"/>
        <v>5030</v>
      </c>
      <c r="C404" t="s">
        <v>1591</v>
      </c>
      <c r="D404" t="s">
        <v>1060</v>
      </c>
      <c r="E404" t="str">
        <f t="shared" si="25"/>
        <v>pUmem_Cmd_JogSpeed(07)-&gt;i.user:$5030</v>
      </c>
    </row>
    <row r="405" spans="1:5" x14ac:dyDescent="0.3">
      <c r="A405" s="1">
        <v>20608</v>
      </c>
      <c r="B405" s="1" t="str">
        <f t="shared" si="24"/>
        <v>5080</v>
      </c>
      <c r="C405" t="s">
        <v>1592</v>
      </c>
      <c r="D405" t="s">
        <v>1060</v>
      </c>
      <c r="E405" t="str">
        <f t="shared" si="25"/>
        <v>pUmem_Cmd_JogSpeed(08)-&gt;i.user:$5080</v>
      </c>
    </row>
    <row r="406" spans="1:5" x14ac:dyDescent="0.3">
      <c r="A406" s="1">
        <v>20688</v>
      </c>
      <c r="B406" s="1" t="str">
        <f t="shared" si="24"/>
        <v>50D0</v>
      </c>
      <c r="C406" t="s">
        <v>1593</v>
      </c>
      <c r="D406" t="s">
        <v>1060</v>
      </c>
      <c r="E406" t="str">
        <f t="shared" si="25"/>
        <v>pUmem_Cmd_JogSpeed(09)-&gt;i.user:$50D0</v>
      </c>
    </row>
    <row r="407" spans="1:5" x14ac:dyDescent="0.3">
      <c r="A407" s="1">
        <v>20768</v>
      </c>
      <c r="B407" s="1" t="str">
        <f t="shared" si="24"/>
        <v>5120</v>
      </c>
      <c r="C407" t="s">
        <v>1594</v>
      </c>
      <c r="D407" t="s">
        <v>1060</v>
      </c>
      <c r="E407" t="str">
        <f t="shared" si="25"/>
        <v>pUmem_Cmd_JogSpeed(10)-&gt;i.user:$5120</v>
      </c>
    </row>
    <row r="408" spans="1:5" x14ac:dyDescent="0.3">
      <c r="A408" s="1">
        <v>20848</v>
      </c>
      <c r="B408" s="1" t="str">
        <f t="shared" si="24"/>
        <v>5170</v>
      </c>
      <c r="C408" t="s">
        <v>1595</v>
      </c>
      <c r="D408" t="s">
        <v>1060</v>
      </c>
      <c r="E408" t="str">
        <f t="shared" si="25"/>
        <v>pUmem_Cmd_JogSpeed(11)-&gt;i.user:$5170</v>
      </c>
    </row>
    <row r="409" spans="1:5" x14ac:dyDescent="0.3">
      <c r="A409" s="1">
        <v>20928</v>
      </c>
      <c r="B409" s="1" t="str">
        <f t="shared" si="24"/>
        <v>51C0</v>
      </c>
      <c r="C409" t="s">
        <v>1596</v>
      </c>
      <c r="D409" t="s">
        <v>1060</v>
      </c>
      <c r="E409" t="str">
        <f t="shared" si="25"/>
        <v>pUmem_Cmd_JogSpeed(12)-&gt;i.user:$51C0</v>
      </c>
    </row>
    <row r="410" spans="1:5" x14ac:dyDescent="0.3">
      <c r="A410" s="1">
        <v>21008</v>
      </c>
      <c r="B410" s="1" t="str">
        <f t="shared" si="24"/>
        <v>5210</v>
      </c>
      <c r="C410" t="s">
        <v>1597</v>
      </c>
      <c r="D410" t="s">
        <v>1060</v>
      </c>
      <c r="E410" t="str">
        <f t="shared" si="25"/>
        <v>pUmem_Cmd_JogSpeed(13)-&gt;i.user:$5210</v>
      </c>
    </row>
    <row r="411" spans="1:5" x14ac:dyDescent="0.3">
      <c r="A411" s="1">
        <v>21088</v>
      </c>
      <c r="B411" s="1" t="str">
        <f t="shared" si="24"/>
        <v>5260</v>
      </c>
      <c r="C411" t="s">
        <v>1598</v>
      </c>
      <c r="D411" t="s">
        <v>1060</v>
      </c>
      <c r="E411" t="str">
        <f t="shared" si="25"/>
        <v>pUmem_Cmd_JogSpeed(14)-&gt;i.user:$5260</v>
      </c>
    </row>
    <row r="412" spans="1:5" x14ac:dyDescent="0.3">
      <c r="A412" s="1">
        <v>21168</v>
      </c>
      <c r="B412" s="1" t="str">
        <f t="shared" si="24"/>
        <v>52B0</v>
      </c>
      <c r="C412" t="s">
        <v>1599</v>
      </c>
      <c r="D412" t="s">
        <v>1060</v>
      </c>
      <c r="E412" t="str">
        <f t="shared" si="25"/>
        <v>pUmem_Cmd_JogSpeed(15)-&gt;i.user:$52B0</v>
      </c>
    </row>
    <row r="413" spans="1:5" x14ac:dyDescent="0.3">
      <c r="A413" s="1">
        <v>21248</v>
      </c>
      <c r="B413" s="1" t="str">
        <f t="shared" si="24"/>
        <v>5300</v>
      </c>
      <c r="C413" t="s">
        <v>1600</v>
      </c>
      <c r="D413" t="s">
        <v>1060</v>
      </c>
      <c r="E413" t="str">
        <f t="shared" si="25"/>
        <v>pUmem_Cmd_JogSpeed(16)-&gt;i.user:$5300</v>
      </c>
    </row>
    <row r="414" spans="1:5" x14ac:dyDescent="0.3">
      <c r="A414" s="1">
        <v>21328</v>
      </c>
      <c r="B414" s="1" t="str">
        <f t="shared" si="24"/>
        <v>5350</v>
      </c>
      <c r="C414" t="s">
        <v>1601</v>
      </c>
      <c r="D414" t="s">
        <v>1060</v>
      </c>
      <c r="E414" t="str">
        <f t="shared" si="25"/>
        <v>pUmem_Cmd_JogSpeed(17)-&gt;i.user:$5350</v>
      </c>
    </row>
    <row r="415" spans="1:5" x14ac:dyDescent="0.3">
      <c r="A415" s="1">
        <v>21408</v>
      </c>
      <c r="B415" s="1" t="str">
        <f t="shared" si="24"/>
        <v>53A0</v>
      </c>
      <c r="C415" t="s">
        <v>1602</v>
      </c>
      <c r="D415" t="s">
        <v>1060</v>
      </c>
      <c r="E415" t="str">
        <f t="shared" si="25"/>
        <v>pUmem_Cmd_JogSpeed(18)-&gt;i.user:$53A0</v>
      </c>
    </row>
    <row r="416" spans="1:5" x14ac:dyDescent="0.3">
      <c r="A416" s="1">
        <v>21488</v>
      </c>
      <c r="B416" s="1" t="str">
        <f t="shared" si="24"/>
        <v>53F0</v>
      </c>
      <c r="C416" t="s">
        <v>1603</v>
      </c>
      <c r="D416" t="s">
        <v>1060</v>
      </c>
      <c r="E416" t="str">
        <f t="shared" si="25"/>
        <v>pUmem_Cmd_JogSpeed(19)-&gt;i.user:$53F0</v>
      </c>
    </row>
    <row r="417" spans="1:5" x14ac:dyDescent="0.3">
      <c r="A417" s="1">
        <v>21568</v>
      </c>
      <c r="B417" s="1" t="str">
        <f t="shared" si="24"/>
        <v>5440</v>
      </c>
      <c r="C417" t="s">
        <v>1604</v>
      </c>
      <c r="D417" t="s">
        <v>1060</v>
      </c>
      <c r="E417" t="str">
        <f t="shared" si="25"/>
        <v>pUmem_Cmd_JogSpeed(20)-&gt;i.user:$5440</v>
      </c>
    </row>
    <row r="418" spans="1:5" x14ac:dyDescent="0.3">
      <c r="A418" s="1">
        <v>21648</v>
      </c>
      <c r="B418" s="1" t="str">
        <f t="shared" si="24"/>
        <v>5490</v>
      </c>
      <c r="C418" t="s">
        <v>1605</v>
      </c>
      <c r="D418" t="s">
        <v>1060</v>
      </c>
      <c r="E418" t="str">
        <f t="shared" si="25"/>
        <v>pUmem_Cmd_JogSpeed(21)-&gt;i.user:$5490</v>
      </c>
    </row>
    <row r="419" spans="1:5" x14ac:dyDescent="0.3">
      <c r="A419" s="1">
        <v>21728</v>
      </c>
      <c r="B419" s="1" t="str">
        <f t="shared" si="24"/>
        <v>54E0</v>
      </c>
      <c r="C419" t="s">
        <v>1606</v>
      </c>
      <c r="D419" t="s">
        <v>1060</v>
      </c>
      <c r="E419" t="str">
        <f t="shared" si="25"/>
        <v>pUmem_Cmd_JogSpeed(22)-&gt;i.user:$54E0</v>
      </c>
    </row>
    <row r="420" spans="1:5" x14ac:dyDescent="0.3">
      <c r="A420" s="1">
        <v>21808</v>
      </c>
      <c r="B420" s="1" t="str">
        <f t="shared" si="24"/>
        <v>5530</v>
      </c>
      <c r="C420" t="s">
        <v>1607</v>
      </c>
      <c r="D420" t="s">
        <v>1060</v>
      </c>
      <c r="E420" t="str">
        <f t="shared" si="25"/>
        <v>pUmem_Cmd_JogSpeed(23)-&gt;i.user:$5530</v>
      </c>
    </row>
    <row r="421" spans="1:5" x14ac:dyDescent="0.3">
      <c r="A421" s="1">
        <v>21888</v>
      </c>
      <c r="B421" s="1" t="str">
        <f t="shared" si="24"/>
        <v>5580</v>
      </c>
      <c r="C421" t="s">
        <v>1608</v>
      </c>
      <c r="D421" t="s">
        <v>1060</v>
      </c>
      <c r="E421" t="str">
        <f t="shared" si="25"/>
        <v>pUmem_Cmd_JogSpeed(24)-&gt;i.user:$5580</v>
      </c>
    </row>
    <row r="422" spans="1:5" x14ac:dyDescent="0.3">
      <c r="A422" s="1">
        <v>21968</v>
      </c>
      <c r="B422" s="1" t="str">
        <f t="shared" si="24"/>
        <v>55D0</v>
      </c>
      <c r="C422" t="s">
        <v>1609</v>
      </c>
      <c r="D422" t="s">
        <v>1060</v>
      </c>
      <c r="E422" t="str">
        <f t="shared" si="25"/>
        <v>pUmem_Cmd_JogSpeed(25)-&gt;i.user:$55D0</v>
      </c>
    </row>
    <row r="423" spans="1:5" x14ac:dyDescent="0.3">
      <c r="A423" s="1">
        <v>22048</v>
      </c>
      <c r="B423" s="1" t="str">
        <f t="shared" si="24"/>
        <v>5620</v>
      </c>
      <c r="C423" t="s">
        <v>1610</v>
      </c>
      <c r="D423" t="s">
        <v>1060</v>
      </c>
      <c r="E423" t="str">
        <f t="shared" si="25"/>
        <v>pUmem_Cmd_JogSpeed(26)-&gt;i.user:$5620</v>
      </c>
    </row>
    <row r="424" spans="1:5" x14ac:dyDescent="0.3">
      <c r="A424" s="1">
        <v>22128</v>
      </c>
      <c r="B424" s="1" t="str">
        <f t="shared" si="24"/>
        <v>5670</v>
      </c>
      <c r="C424" t="s">
        <v>1611</v>
      </c>
      <c r="D424" t="s">
        <v>1060</v>
      </c>
      <c r="E424" t="str">
        <f t="shared" si="25"/>
        <v>pUmem_Cmd_JogSpeed(27)-&gt;i.user:$5670</v>
      </c>
    </row>
    <row r="425" spans="1:5" x14ac:dyDescent="0.3">
      <c r="A425" s="1">
        <v>22208</v>
      </c>
      <c r="B425" s="1" t="str">
        <f t="shared" si="24"/>
        <v>56C0</v>
      </c>
      <c r="C425" t="s">
        <v>1612</v>
      </c>
      <c r="D425" t="s">
        <v>1060</v>
      </c>
      <c r="E425" t="str">
        <f t="shared" si="25"/>
        <v>pUmem_Cmd_JogSpeed(28)-&gt;i.user:$56C0</v>
      </c>
    </row>
    <row r="426" spans="1:5" x14ac:dyDescent="0.3">
      <c r="A426" s="1">
        <v>22288</v>
      </c>
      <c r="B426" s="1" t="str">
        <f t="shared" si="24"/>
        <v>5710</v>
      </c>
      <c r="C426" t="s">
        <v>1613</v>
      </c>
      <c r="D426" t="s">
        <v>1060</v>
      </c>
      <c r="E426" t="str">
        <f t="shared" si="25"/>
        <v>pUmem_Cmd_JogSpeed(29)-&gt;i.user:$5710</v>
      </c>
    </row>
    <row r="427" spans="1:5" x14ac:dyDescent="0.3">
      <c r="A427" s="1">
        <v>22368</v>
      </c>
      <c r="B427" s="1" t="str">
        <f t="shared" si="24"/>
        <v>5760</v>
      </c>
      <c r="C427" t="s">
        <v>1614</v>
      </c>
      <c r="D427" t="s">
        <v>1060</v>
      </c>
      <c r="E427" t="str">
        <f t="shared" si="25"/>
        <v>pUmem_Cmd_JogSpeed(30)-&gt;i.user:$5760</v>
      </c>
    </row>
    <row r="428" spans="1:5" x14ac:dyDescent="0.3">
      <c r="A428" s="1">
        <v>22448</v>
      </c>
      <c r="B428" s="1" t="str">
        <f t="shared" si="24"/>
        <v>57B0</v>
      </c>
      <c r="C428" t="s">
        <v>1615</v>
      </c>
      <c r="D428" t="s">
        <v>1060</v>
      </c>
      <c r="E428" t="str">
        <f t="shared" si="25"/>
        <v>pUmem_Cmd_JogSpeed(31)-&gt;i.user:$57B0</v>
      </c>
    </row>
    <row r="429" spans="1:5" x14ac:dyDescent="0.3">
      <c r="A429" s="1">
        <v>22528</v>
      </c>
      <c r="B429" s="1" t="str">
        <f t="shared" si="24"/>
        <v>5800</v>
      </c>
      <c r="C429" t="s">
        <v>1616</v>
      </c>
      <c r="D429" t="s">
        <v>1060</v>
      </c>
      <c r="E429" t="str">
        <f t="shared" si="25"/>
        <v>pUmem_Cmd_JogSpeed(32)-&gt;i.user:$5800</v>
      </c>
    </row>
    <row r="431" spans="1:5" x14ac:dyDescent="0.3">
      <c r="A431" s="1">
        <v>20052</v>
      </c>
      <c r="B431" s="1" t="str">
        <f>DEC2HEX(A431)</f>
        <v>4E54</v>
      </c>
      <c r="C431" t="s">
        <v>1522</v>
      </c>
      <c r="D431" t="s">
        <v>1060</v>
      </c>
      <c r="E431" t="str">
        <f>C431&amp;D431&amp;B431</f>
        <v>pUmem_Cmd_JogTa(01)-&gt;i.user:$4E54</v>
      </c>
    </row>
    <row r="432" spans="1:5" x14ac:dyDescent="0.3">
      <c r="A432" s="1">
        <v>20132</v>
      </c>
      <c r="B432" s="1" t="str">
        <f t="shared" ref="B432:B462" si="26">DEC2HEX(A432)</f>
        <v>4EA4</v>
      </c>
      <c r="C432" t="s">
        <v>1555</v>
      </c>
      <c r="D432" t="s">
        <v>1060</v>
      </c>
      <c r="E432" t="str">
        <f t="shared" ref="E432:E462" si="27">C432&amp;D432&amp;B432</f>
        <v>pUmem_Cmd_JogTa(02)-&gt;i.user:$4EA4</v>
      </c>
    </row>
    <row r="433" spans="1:5" x14ac:dyDescent="0.3">
      <c r="A433" s="1">
        <v>20212</v>
      </c>
      <c r="B433" s="1" t="str">
        <f t="shared" si="26"/>
        <v>4EF4</v>
      </c>
      <c r="C433" t="s">
        <v>1556</v>
      </c>
      <c r="D433" t="s">
        <v>1060</v>
      </c>
      <c r="E433" t="str">
        <f t="shared" si="27"/>
        <v>pUmem_Cmd_JogTa(03)-&gt;i.user:$4EF4</v>
      </c>
    </row>
    <row r="434" spans="1:5" x14ac:dyDescent="0.3">
      <c r="A434" s="1">
        <v>20292</v>
      </c>
      <c r="B434" s="1" t="str">
        <f t="shared" si="26"/>
        <v>4F44</v>
      </c>
      <c r="C434" t="s">
        <v>1557</v>
      </c>
      <c r="D434" t="s">
        <v>1060</v>
      </c>
      <c r="E434" t="str">
        <f t="shared" si="27"/>
        <v>pUmem_Cmd_JogTa(04)-&gt;i.user:$4F44</v>
      </c>
    </row>
    <row r="435" spans="1:5" x14ac:dyDescent="0.3">
      <c r="A435" s="1">
        <v>20372</v>
      </c>
      <c r="B435" s="1" t="str">
        <f t="shared" si="26"/>
        <v>4F94</v>
      </c>
      <c r="C435" t="s">
        <v>1558</v>
      </c>
      <c r="D435" t="s">
        <v>1060</v>
      </c>
      <c r="E435" t="str">
        <f t="shared" si="27"/>
        <v>pUmem_Cmd_JogTa(05)-&gt;i.user:$4F94</v>
      </c>
    </row>
    <row r="436" spans="1:5" x14ac:dyDescent="0.3">
      <c r="A436" s="1">
        <v>20452</v>
      </c>
      <c r="B436" s="1" t="str">
        <f t="shared" si="26"/>
        <v>4FE4</v>
      </c>
      <c r="C436" t="s">
        <v>1559</v>
      </c>
      <c r="D436" t="s">
        <v>1060</v>
      </c>
      <c r="E436" t="str">
        <f t="shared" si="27"/>
        <v>pUmem_Cmd_JogTa(06)-&gt;i.user:$4FE4</v>
      </c>
    </row>
    <row r="437" spans="1:5" x14ac:dyDescent="0.3">
      <c r="A437" s="1">
        <v>20532</v>
      </c>
      <c r="B437" s="1" t="str">
        <f t="shared" si="26"/>
        <v>5034</v>
      </c>
      <c r="C437" t="s">
        <v>1560</v>
      </c>
      <c r="D437" t="s">
        <v>1060</v>
      </c>
      <c r="E437" t="str">
        <f t="shared" si="27"/>
        <v>pUmem_Cmd_JogTa(07)-&gt;i.user:$5034</v>
      </c>
    </row>
    <row r="438" spans="1:5" x14ac:dyDescent="0.3">
      <c r="A438" s="1">
        <v>20612</v>
      </c>
      <c r="B438" s="1" t="str">
        <f t="shared" si="26"/>
        <v>5084</v>
      </c>
      <c r="C438" t="s">
        <v>1561</v>
      </c>
      <c r="D438" t="s">
        <v>1060</v>
      </c>
      <c r="E438" t="str">
        <f t="shared" si="27"/>
        <v>pUmem_Cmd_JogTa(08)-&gt;i.user:$5084</v>
      </c>
    </row>
    <row r="439" spans="1:5" x14ac:dyDescent="0.3">
      <c r="A439" s="1">
        <v>20692</v>
      </c>
      <c r="B439" s="1" t="str">
        <f t="shared" si="26"/>
        <v>50D4</v>
      </c>
      <c r="C439" t="s">
        <v>1562</v>
      </c>
      <c r="D439" t="s">
        <v>1060</v>
      </c>
      <c r="E439" t="str">
        <f t="shared" si="27"/>
        <v>pUmem_Cmd_JogTa(09)-&gt;i.user:$50D4</v>
      </c>
    </row>
    <row r="440" spans="1:5" x14ac:dyDescent="0.3">
      <c r="A440" s="1">
        <v>20772</v>
      </c>
      <c r="B440" s="1" t="str">
        <f t="shared" si="26"/>
        <v>5124</v>
      </c>
      <c r="C440" t="s">
        <v>1563</v>
      </c>
      <c r="D440" t="s">
        <v>1060</v>
      </c>
      <c r="E440" t="str">
        <f t="shared" si="27"/>
        <v>pUmem_Cmd_JogTa(10)-&gt;i.user:$5124</v>
      </c>
    </row>
    <row r="441" spans="1:5" x14ac:dyDescent="0.3">
      <c r="A441" s="1">
        <v>20852</v>
      </c>
      <c r="B441" s="1" t="str">
        <f t="shared" si="26"/>
        <v>5174</v>
      </c>
      <c r="C441" t="s">
        <v>1564</v>
      </c>
      <c r="D441" t="s">
        <v>1060</v>
      </c>
      <c r="E441" t="str">
        <f t="shared" si="27"/>
        <v>pUmem_Cmd_JogTa(11)-&gt;i.user:$5174</v>
      </c>
    </row>
    <row r="442" spans="1:5" x14ac:dyDescent="0.3">
      <c r="A442" s="1">
        <v>20932</v>
      </c>
      <c r="B442" s="1" t="str">
        <f t="shared" si="26"/>
        <v>51C4</v>
      </c>
      <c r="C442" t="s">
        <v>1565</v>
      </c>
      <c r="D442" t="s">
        <v>1060</v>
      </c>
      <c r="E442" t="str">
        <f t="shared" si="27"/>
        <v>pUmem_Cmd_JogTa(12)-&gt;i.user:$51C4</v>
      </c>
    </row>
    <row r="443" spans="1:5" x14ac:dyDescent="0.3">
      <c r="A443" s="1">
        <v>21012</v>
      </c>
      <c r="B443" s="1" t="str">
        <f t="shared" si="26"/>
        <v>5214</v>
      </c>
      <c r="C443" t="s">
        <v>1566</v>
      </c>
      <c r="D443" t="s">
        <v>1060</v>
      </c>
      <c r="E443" t="str">
        <f t="shared" si="27"/>
        <v>pUmem_Cmd_JogTa(13)-&gt;i.user:$5214</v>
      </c>
    </row>
    <row r="444" spans="1:5" x14ac:dyDescent="0.3">
      <c r="A444" s="1">
        <v>21092</v>
      </c>
      <c r="B444" s="1" t="str">
        <f t="shared" si="26"/>
        <v>5264</v>
      </c>
      <c r="C444" t="s">
        <v>1567</v>
      </c>
      <c r="D444" t="s">
        <v>1060</v>
      </c>
      <c r="E444" t="str">
        <f t="shared" si="27"/>
        <v>pUmem_Cmd_JogTa(14)-&gt;i.user:$5264</v>
      </c>
    </row>
    <row r="445" spans="1:5" x14ac:dyDescent="0.3">
      <c r="A445" s="1">
        <v>21172</v>
      </c>
      <c r="B445" s="1" t="str">
        <f t="shared" si="26"/>
        <v>52B4</v>
      </c>
      <c r="C445" t="s">
        <v>1568</v>
      </c>
      <c r="D445" t="s">
        <v>1060</v>
      </c>
      <c r="E445" t="str">
        <f t="shared" si="27"/>
        <v>pUmem_Cmd_JogTa(15)-&gt;i.user:$52B4</v>
      </c>
    </row>
    <row r="446" spans="1:5" x14ac:dyDescent="0.3">
      <c r="A446" s="1">
        <v>21252</v>
      </c>
      <c r="B446" s="1" t="str">
        <f t="shared" si="26"/>
        <v>5304</v>
      </c>
      <c r="C446" t="s">
        <v>1569</v>
      </c>
      <c r="D446" t="s">
        <v>1060</v>
      </c>
      <c r="E446" t="str">
        <f t="shared" si="27"/>
        <v>pUmem_Cmd_JogTa(16)-&gt;i.user:$5304</v>
      </c>
    </row>
    <row r="447" spans="1:5" x14ac:dyDescent="0.3">
      <c r="A447" s="1">
        <v>21332</v>
      </c>
      <c r="B447" s="1" t="str">
        <f t="shared" si="26"/>
        <v>5354</v>
      </c>
      <c r="C447" t="s">
        <v>1570</v>
      </c>
      <c r="D447" t="s">
        <v>1060</v>
      </c>
      <c r="E447" t="str">
        <f t="shared" si="27"/>
        <v>pUmem_Cmd_JogTa(17)-&gt;i.user:$5354</v>
      </c>
    </row>
    <row r="448" spans="1:5" x14ac:dyDescent="0.3">
      <c r="A448" s="1">
        <v>21412</v>
      </c>
      <c r="B448" s="1" t="str">
        <f t="shared" si="26"/>
        <v>53A4</v>
      </c>
      <c r="C448" t="s">
        <v>1571</v>
      </c>
      <c r="D448" t="s">
        <v>1060</v>
      </c>
      <c r="E448" t="str">
        <f t="shared" si="27"/>
        <v>pUmem_Cmd_JogTa(18)-&gt;i.user:$53A4</v>
      </c>
    </row>
    <row r="449" spans="1:5" x14ac:dyDescent="0.3">
      <c r="A449" s="1">
        <v>21492</v>
      </c>
      <c r="B449" s="1" t="str">
        <f t="shared" si="26"/>
        <v>53F4</v>
      </c>
      <c r="C449" t="s">
        <v>1572</v>
      </c>
      <c r="D449" t="s">
        <v>1060</v>
      </c>
      <c r="E449" t="str">
        <f t="shared" si="27"/>
        <v>pUmem_Cmd_JogTa(19)-&gt;i.user:$53F4</v>
      </c>
    </row>
    <row r="450" spans="1:5" x14ac:dyDescent="0.3">
      <c r="A450" s="1">
        <v>21572</v>
      </c>
      <c r="B450" s="1" t="str">
        <f t="shared" si="26"/>
        <v>5444</v>
      </c>
      <c r="C450" t="s">
        <v>1573</v>
      </c>
      <c r="D450" t="s">
        <v>1060</v>
      </c>
      <c r="E450" t="str">
        <f t="shared" si="27"/>
        <v>pUmem_Cmd_JogTa(20)-&gt;i.user:$5444</v>
      </c>
    </row>
    <row r="451" spans="1:5" x14ac:dyDescent="0.3">
      <c r="A451" s="1">
        <v>21652</v>
      </c>
      <c r="B451" s="1" t="str">
        <f t="shared" si="26"/>
        <v>5494</v>
      </c>
      <c r="C451" t="s">
        <v>1574</v>
      </c>
      <c r="D451" t="s">
        <v>1060</v>
      </c>
      <c r="E451" t="str">
        <f t="shared" si="27"/>
        <v>pUmem_Cmd_JogTa(21)-&gt;i.user:$5494</v>
      </c>
    </row>
    <row r="452" spans="1:5" x14ac:dyDescent="0.3">
      <c r="A452" s="1">
        <v>21732</v>
      </c>
      <c r="B452" s="1" t="str">
        <f t="shared" si="26"/>
        <v>54E4</v>
      </c>
      <c r="C452" t="s">
        <v>1575</v>
      </c>
      <c r="D452" t="s">
        <v>1060</v>
      </c>
      <c r="E452" t="str">
        <f t="shared" si="27"/>
        <v>pUmem_Cmd_JogTa(22)-&gt;i.user:$54E4</v>
      </c>
    </row>
    <row r="453" spans="1:5" x14ac:dyDescent="0.3">
      <c r="A453" s="1">
        <v>21812</v>
      </c>
      <c r="B453" s="1" t="str">
        <f t="shared" si="26"/>
        <v>5534</v>
      </c>
      <c r="C453" t="s">
        <v>1576</v>
      </c>
      <c r="D453" t="s">
        <v>1060</v>
      </c>
      <c r="E453" t="str">
        <f t="shared" si="27"/>
        <v>pUmem_Cmd_JogTa(23)-&gt;i.user:$5534</v>
      </c>
    </row>
    <row r="454" spans="1:5" x14ac:dyDescent="0.3">
      <c r="A454" s="1">
        <v>21892</v>
      </c>
      <c r="B454" s="1" t="str">
        <f t="shared" si="26"/>
        <v>5584</v>
      </c>
      <c r="C454" t="s">
        <v>1577</v>
      </c>
      <c r="D454" t="s">
        <v>1060</v>
      </c>
      <c r="E454" t="str">
        <f t="shared" si="27"/>
        <v>pUmem_Cmd_JogTa(24)-&gt;i.user:$5584</v>
      </c>
    </row>
    <row r="455" spans="1:5" x14ac:dyDescent="0.3">
      <c r="A455" s="1">
        <v>21972</v>
      </c>
      <c r="B455" s="1" t="str">
        <f t="shared" si="26"/>
        <v>55D4</v>
      </c>
      <c r="C455" t="s">
        <v>1578</v>
      </c>
      <c r="D455" t="s">
        <v>1060</v>
      </c>
      <c r="E455" t="str">
        <f t="shared" si="27"/>
        <v>pUmem_Cmd_JogTa(25)-&gt;i.user:$55D4</v>
      </c>
    </row>
    <row r="456" spans="1:5" x14ac:dyDescent="0.3">
      <c r="A456" s="1">
        <v>22052</v>
      </c>
      <c r="B456" s="1" t="str">
        <f t="shared" si="26"/>
        <v>5624</v>
      </c>
      <c r="C456" t="s">
        <v>1579</v>
      </c>
      <c r="D456" t="s">
        <v>1060</v>
      </c>
      <c r="E456" t="str">
        <f t="shared" si="27"/>
        <v>pUmem_Cmd_JogTa(26)-&gt;i.user:$5624</v>
      </c>
    </row>
    <row r="457" spans="1:5" x14ac:dyDescent="0.3">
      <c r="A457" s="1">
        <v>22132</v>
      </c>
      <c r="B457" s="1" t="str">
        <f t="shared" si="26"/>
        <v>5674</v>
      </c>
      <c r="C457" t="s">
        <v>1580</v>
      </c>
      <c r="D457" t="s">
        <v>1060</v>
      </c>
      <c r="E457" t="str">
        <f t="shared" si="27"/>
        <v>pUmem_Cmd_JogTa(27)-&gt;i.user:$5674</v>
      </c>
    </row>
    <row r="458" spans="1:5" x14ac:dyDescent="0.3">
      <c r="A458" s="1">
        <v>22212</v>
      </c>
      <c r="B458" s="1" t="str">
        <f t="shared" si="26"/>
        <v>56C4</v>
      </c>
      <c r="C458" t="s">
        <v>1581</v>
      </c>
      <c r="D458" t="s">
        <v>1060</v>
      </c>
      <c r="E458" t="str">
        <f t="shared" si="27"/>
        <v>pUmem_Cmd_JogTa(28)-&gt;i.user:$56C4</v>
      </c>
    </row>
    <row r="459" spans="1:5" x14ac:dyDescent="0.3">
      <c r="A459" s="1">
        <v>22292</v>
      </c>
      <c r="B459" s="1" t="str">
        <f t="shared" si="26"/>
        <v>5714</v>
      </c>
      <c r="C459" t="s">
        <v>1582</v>
      </c>
      <c r="D459" t="s">
        <v>1060</v>
      </c>
      <c r="E459" t="str">
        <f t="shared" si="27"/>
        <v>pUmem_Cmd_JogTa(29)-&gt;i.user:$5714</v>
      </c>
    </row>
    <row r="460" spans="1:5" x14ac:dyDescent="0.3">
      <c r="A460" s="1">
        <v>22372</v>
      </c>
      <c r="B460" s="1" t="str">
        <f t="shared" si="26"/>
        <v>5764</v>
      </c>
      <c r="C460" t="s">
        <v>1583</v>
      </c>
      <c r="D460" t="s">
        <v>1060</v>
      </c>
      <c r="E460" t="str">
        <f t="shared" si="27"/>
        <v>pUmem_Cmd_JogTa(30)-&gt;i.user:$5764</v>
      </c>
    </row>
    <row r="461" spans="1:5" x14ac:dyDescent="0.3">
      <c r="A461" s="1">
        <v>22452</v>
      </c>
      <c r="B461" s="1" t="str">
        <f t="shared" si="26"/>
        <v>57B4</v>
      </c>
      <c r="C461" t="s">
        <v>1584</v>
      </c>
      <c r="D461" t="s">
        <v>1060</v>
      </c>
      <c r="E461" t="str">
        <f t="shared" si="27"/>
        <v>pUmem_Cmd_JogTa(31)-&gt;i.user:$57B4</v>
      </c>
    </row>
    <row r="462" spans="1:5" x14ac:dyDescent="0.3">
      <c r="A462" s="1">
        <v>22532</v>
      </c>
      <c r="B462" s="1" t="str">
        <f t="shared" si="26"/>
        <v>5804</v>
      </c>
      <c r="C462" t="s">
        <v>1585</v>
      </c>
      <c r="D462" t="s">
        <v>1060</v>
      </c>
      <c r="E462" t="str">
        <f t="shared" si="27"/>
        <v>pUmem_Cmd_JogTa(32)-&gt;i.user:$5804</v>
      </c>
    </row>
    <row r="464" spans="1:5" x14ac:dyDescent="0.3">
      <c r="A464" s="1">
        <v>20056</v>
      </c>
      <c r="B464" s="1" t="str">
        <f>DEC2HEX(A464)</f>
        <v>4E58</v>
      </c>
      <c r="C464" t="s">
        <v>1523</v>
      </c>
      <c r="D464" t="s">
        <v>1060</v>
      </c>
      <c r="E464" t="str">
        <f>C464&amp;D464&amp;B464</f>
        <v>pUmem_Cmd_JogTs(01)-&gt;i.user:$4E58</v>
      </c>
    </row>
    <row r="465" spans="1:5" x14ac:dyDescent="0.3">
      <c r="A465" s="1">
        <v>20136</v>
      </c>
      <c r="B465" s="1" t="str">
        <f t="shared" ref="B465:B495" si="28">DEC2HEX(A465)</f>
        <v>4EA8</v>
      </c>
      <c r="C465" t="s">
        <v>1524</v>
      </c>
      <c r="D465" t="s">
        <v>1060</v>
      </c>
      <c r="E465" t="str">
        <f t="shared" ref="E465:E495" si="29">C465&amp;D465&amp;B465</f>
        <v>pUmem_Cmd_JogTs(02)-&gt;i.user:$4EA8</v>
      </c>
    </row>
    <row r="466" spans="1:5" x14ac:dyDescent="0.3">
      <c r="A466" s="1">
        <v>20216</v>
      </c>
      <c r="B466" s="1" t="str">
        <f t="shared" si="28"/>
        <v>4EF8</v>
      </c>
      <c r="C466" t="s">
        <v>1525</v>
      </c>
      <c r="D466" t="s">
        <v>1060</v>
      </c>
      <c r="E466" t="str">
        <f t="shared" si="29"/>
        <v>pUmem_Cmd_JogTs(03)-&gt;i.user:$4EF8</v>
      </c>
    </row>
    <row r="467" spans="1:5" x14ac:dyDescent="0.3">
      <c r="A467" s="1">
        <v>20296</v>
      </c>
      <c r="B467" s="1" t="str">
        <f t="shared" si="28"/>
        <v>4F48</v>
      </c>
      <c r="C467" t="s">
        <v>1526</v>
      </c>
      <c r="D467" t="s">
        <v>1060</v>
      </c>
      <c r="E467" t="str">
        <f t="shared" si="29"/>
        <v>pUmem_Cmd_JogTs(04)-&gt;i.user:$4F48</v>
      </c>
    </row>
    <row r="468" spans="1:5" x14ac:dyDescent="0.3">
      <c r="A468" s="1">
        <v>20376</v>
      </c>
      <c r="B468" s="1" t="str">
        <f t="shared" si="28"/>
        <v>4F98</v>
      </c>
      <c r="C468" t="s">
        <v>1527</v>
      </c>
      <c r="D468" t="s">
        <v>1060</v>
      </c>
      <c r="E468" t="str">
        <f t="shared" si="29"/>
        <v>pUmem_Cmd_JogTs(05)-&gt;i.user:$4F98</v>
      </c>
    </row>
    <row r="469" spans="1:5" x14ac:dyDescent="0.3">
      <c r="A469" s="1">
        <v>20456</v>
      </c>
      <c r="B469" s="1" t="str">
        <f t="shared" si="28"/>
        <v>4FE8</v>
      </c>
      <c r="C469" t="s">
        <v>1528</v>
      </c>
      <c r="D469" t="s">
        <v>1060</v>
      </c>
      <c r="E469" t="str">
        <f t="shared" si="29"/>
        <v>pUmem_Cmd_JogTs(06)-&gt;i.user:$4FE8</v>
      </c>
    </row>
    <row r="470" spans="1:5" x14ac:dyDescent="0.3">
      <c r="A470" s="1">
        <v>20536</v>
      </c>
      <c r="B470" s="1" t="str">
        <f t="shared" si="28"/>
        <v>5038</v>
      </c>
      <c r="C470" t="s">
        <v>1529</v>
      </c>
      <c r="D470" t="s">
        <v>1060</v>
      </c>
      <c r="E470" t="str">
        <f t="shared" si="29"/>
        <v>pUmem_Cmd_JogTs(07)-&gt;i.user:$5038</v>
      </c>
    </row>
    <row r="471" spans="1:5" x14ac:dyDescent="0.3">
      <c r="A471" s="1">
        <v>20616</v>
      </c>
      <c r="B471" s="1" t="str">
        <f t="shared" si="28"/>
        <v>5088</v>
      </c>
      <c r="C471" t="s">
        <v>1530</v>
      </c>
      <c r="D471" t="s">
        <v>1060</v>
      </c>
      <c r="E471" t="str">
        <f t="shared" si="29"/>
        <v>pUmem_Cmd_JogTs(08)-&gt;i.user:$5088</v>
      </c>
    </row>
    <row r="472" spans="1:5" x14ac:dyDescent="0.3">
      <c r="A472" s="1">
        <v>20696</v>
      </c>
      <c r="B472" s="1" t="str">
        <f t="shared" si="28"/>
        <v>50D8</v>
      </c>
      <c r="C472" t="s">
        <v>1531</v>
      </c>
      <c r="D472" t="s">
        <v>1060</v>
      </c>
      <c r="E472" t="str">
        <f t="shared" si="29"/>
        <v>pUmem_Cmd_JogTs(09)-&gt;i.user:$50D8</v>
      </c>
    </row>
    <row r="473" spans="1:5" x14ac:dyDescent="0.3">
      <c r="A473" s="1">
        <v>20776</v>
      </c>
      <c r="B473" s="1" t="str">
        <f t="shared" si="28"/>
        <v>5128</v>
      </c>
      <c r="C473" t="s">
        <v>1532</v>
      </c>
      <c r="D473" t="s">
        <v>1060</v>
      </c>
      <c r="E473" t="str">
        <f t="shared" si="29"/>
        <v>pUmem_Cmd_JogTs(10)-&gt;i.user:$5128</v>
      </c>
    </row>
    <row r="474" spans="1:5" x14ac:dyDescent="0.3">
      <c r="A474" s="1">
        <v>20856</v>
      </c>
      <c r="B474" s="1" t="str">
        <f t="shared" si="28"/>
        <v>5178</v>
      </c>
      <c r="C474" t="s">
        <v>1533</v>
      </c>
      <c r="D474" t="s">
        <v>1060</v>
      </c>
      <c r="E474" t="str">
        <f t="shared" si="29"/>
        <v>pUmem_Cmd_JogTs(11)-&gt;i.user:$5178</v>
      </c>
    </row>
    <row r="475" spans="1:5" x14ac:dyDescent="0.3">
      <c r="A475" s="1">
        <v>20936</v>
      </c>
      <c r="B475" s="1" t="str">
        <f t="shared" si="28"/>
        <v>51C8</v>
      </c>
      <c r="C475" t="s">
        <v>1534</v>
      </c>
      <c r="D475" t="s">
        <v>1060</v>
      </c>
      <c r="E475" t="str">
        <f t="shared" si="29"/>
        <v>pUmem_Cmd_JogTs(12)-&gt;i.user:$51C8</v>
      </c>
    </row>
    <row r="476" spans="1:5" x14ac:dyDescent="0.3">
      <c r="A476" s="1">
        <v>21016</v>
      </c>
      <c r="B476" s="1" t="str">
        <f t="shared" si="28"/>
        <v>5218</v>
      </c>
      <c r="C476" t="s">
        <v>1535</v>
      </c>
      <c r="D476" t="s">
        <v>1060</v>
      </c>
      <c r="E476" t="str">
        <f t="shared" si="29"/>
        <v>pUmem_Cmd_JogTs(13)-&gt;i.user:$5218</v>
      </c>
    </row>
    <row r="477" spans="1:5" x14ac:dyDescent="0.3">
      <c r="A477" s="1">
        <v>21096</v>
      </c>
      <c r="B477" s="1" t="str">
        <f t="shared" si="28"/>
        <v>5268</v>
      </c>
      <c r="C477" t="s">
        <v>1536</v>
      </c>
      <c r="D477" t="s">
        <v>1060</v>
      </c>
      <c r="E477" t="str">
        <f t="shared" si="29"/>
        <v>pUmem_Cmd_JogTs(14)-&gt;i.user:$5268</v>
      </c>
    </row>
    <row r="478" spans="1:5" x14ac:dyDescent="0.3">
      <c r="A478" s="1">
        <v>21176</v>
      </c>
      <c r="B478" s="1" t="str">
        <f t="shared" si="28"/>
        <v>52B8</v>
      </c>
      <c r="C478" t="s">
        <v>1537</v>
      </c>
      <c r="D478" t="s">
        <v>1060</v>
      </c>
      <c r="E478" t="str">
        <f t="shared" si="29"/>
        <v>pUmem_Cmd_JogTs(15)-&gt;i.user:$52B8</v>
      </c>
    </row>
    <row r="479" spans="1:5" x14ac:dyDescent="0.3">
      <c r="A479" s="1">
        <v>21256</v>
      </c>
      <c r="B479" s="1" t="str">
        <f t="shared" si="28"/>
        <v>5308</v>
      </c>
      <c r="C479" t="s">
        <v>1538</v>
      </c>
      <c r="D479" t="s">
        <v>1060</v>
      </c>
      <c r="E479" t="str">
        <f t="shared" si="29"/>
        <v>pUmem_Cmd_JogTs(16)-&gt;i.user:$5308</v>
      </c>
    </row>
    <row r="480" spans="1:5" x14ac:dyDescent="0.3">
      <c r="A480" s="1">
        <v>21336</v>
      </c>
      <c r="B480" s="1" t="str">
        <f t="shared" si="28"/>
        <v>5358</v>
      </c>
      <c r="C480" t="s">
        <v>1539</v>
      </c>
      <c r="D480" t="s">
        <v>1060</v>
      </c>
      <c r="E480" t="str">
        <f t="shared" si="29"/>
        <v>pUmem_Cmd_JogTs(17)-&gt;i.user:$5358</v>
      </c>
    </row>
    <row r="481" spans="1:5" x14ac:dyDescent="0.3">
      <c r="A481" s="1">
        <v>21416</v>
      </c>
      <c r="B481" s="1" t="str">
        <f t="shared" si="28"/>
        <v>53A8</v>
      </c>
      <c r="C481" t="s">
        <v>1540</v>
      </c>
      <c r="D481" t="s">
        <v>1060</v>
      </c>
      <c r="E481" t="str">
        <f t="shared" si="29"/>
        <v>pUmem_Cmd_JogTs(18)-&gt;i.user:$53A8</v>
      </c>
    </row>
    <row r="482" spans="1:5" x14ac:dyDescent="0.3">
      <c r="A482" s="1">
        <v>21496</v>
      </c>
      <c r="B482" s="1" t="str">
        <f t="shared" si="28"/>
        <v>53F8</v>
      </c>
      <c r="C482" t="s">
        <v>1541</v>
      </c>
      <c r="D482" t="s">
        <v>1060</v>
      </c>
      <c r="E482" t="str">
        <f t="shared" si="29"/>
        <v>pUmem_Cmd_JogTs(19)-&gt;i.user:$53F8</v>
      </c>
    </row>
    <row r="483" spans="1:5" x14ac:dyDescent="0.3">
      <c r="A483" s="1">
        <v>21576</v>
      </c>
      <c r="B483" s="1" t="str">
        <f t="shared" si="28"/>
        <v>5448</v>
      </c>
      <c r="C483" t="s">
        <v>1542</v>
      </c>
      <c r="D483" t="s">
        <v>1060</v>
      </c>
      <c r="E483" t="str">
        <f t="shared" si="29"/>
        <v>pUmem_Cmd_JogTs(20)-&gt;i.user:$5448</v>
      </c>
    </row>
    <row r="484" spans="1:5" x14ac:dyDescent="0.3">
      <c r="A484" s="1">
        <v>21656</v>
      </c>
      <c r="B484" s="1" t="str">
        <f t="shared" si="28"/>
        <v>5498</v>
      </c>
      <c r="C484" t="s">
        <v>1543</v>
      </c>
      <c r="D484" t="s">
        <v>1060</v>
      </c>
      <c r="E484" t="str">
        <f t="shared" si="29"/>
        <v>pUmem_Cmd_JogTs(21)-&gt;i.user:$5498</v>
      </c>
    </row>
    <row r="485" spans="1:5" x14ac:dyDescent="0.3">
      <c r="A485" s="1">
        <v>21736</v>
      </c>
      <c r="B485" s="1" t="str">
        <f t="shared" si="28"/>
        <v>54E8</v>
      </c>
      <c r="C485" t="s">
        <v>1544</v>
      </c>
      <c r="D485" t="s">
        <v>1060</v>
      </c>
      <c r="E485" t="str">
        <f t="shared" si="29"/>
        <v>pUmem_Cmd_JogTs(22)-&gt;i.user:$54E8</v>
      </c>
    </row>
    <row r="486" spans="1:5" x14ac:dyDescent="0.3">
      <c r="A486" s="1">
        <v>21816</v>
      </c>
      <c r="B486" s="1" t="str">
        <f t="shared" si="28"/>
        <v>5538</v>
      </c>
      <c r="C486" t="s">
        <v>1545</v>
      </c>
      <c r="D486" t="s">
        <v>1060</v>
      </c>
      <c r="E486" t="str">
        <f t="shared" si="29"/>
        <v>pUmem_Cmd_JogTs(23)-&gt;i.user:$5538</v>
      </c>
    </row>
    <row r="487" spans="1:5" x14ac:dyDescent="0.3">
      <c r="A487" s="1">
        <v>21896</v>
      </c>
      <c r="B487" s="1" t="str">
        <f t="shared" si="28"/>
        <v>5588</v>
      </c>
      <c r="C487" t="s">
        <v>1546</v>
      </c>
      <c r="D487" t="s">
        <v>1060</v>
      </c>
      <c r="E487" t="str">
        <f t="shared" si="29"/>
        <v>pUmem_Cmd_JogTs(24)-&gt;i.user:$5588</v>
      </c>
    </row>
    <row r="488" spans="1:5" x14ac:dyDescent="0.3">
      <c r="A488" s="1">
        <v>21976</v>
      </c>
      <c r="B488" s="1" t="str">
        <f t="shared" si="28"/>
        <v>55D8</v>
      </c>
      <c r="C488" t="s">
        <v>1547</v>
      </c>
      <c r="D488" t="s">
        <v>1060</v>
      </c>
      <c r="E488" t="str">
        <f t="shared" si="29"/>
        <v>pUmem_Cmd_JogTs(25)-&gt;i.user:$55D8</v>
      </c>
    </row>
    <row r="489" spans="1:5" x14ac:dyDescent="0.3">
      <c r="A489" s="1">
        <v>22056</v>
      </c>
      <c r="B489" s="1" t="str">
        <f t="shared" si="28"/>
        <v>5628</v>
      </c>
      <c r="C489" t="s">
        <v>1548</v>
      </c>
      <c r="D489" t="s">
        <v>1060</v>
      </c>
      <c r="E489" t="str">
        <f t="shared" si="29"/>
        <v>pUmem_Cmd_JogTs(26)-&gt;i.user:$5628</v>
      </c>
    </row>
    <row r="490" spans="1:5" x14ac:dyDescent="0.3">
      <c r="A490" s="1">
        <v>22136</v>
      </c>
      <c r="B490" s="1" t="str">
        <f t="shared" si="28"/>
        <v>5678</v>
      </c>
      <c r="C490" t="s">
        <v>1549</v>
      </c>
      <c r="D490" t="s">
        <v>1060</v>
      </c>
      <c r="E490" t="str">
        <f t="shared" si="29"/>
        <v>pUmem_Cmd_JogTs(27)-&gt;i.user:$5678</v>
      </c>
    </row>
    <row r="491" spans="1:5" x14ac:dyDescent="0.3">
      <c r="A491" s="1">
        <v>22216</v>
      </c>
      <c r="B491" s="1" t="str">
        <f t="shared" si="28"/>
        <v>56C8</v>
      </c>
      <c r="C491" t="s">
        <v>1550</v>
      </c>
      <c r="D491" t="s">
        <v>1060</v>
      </c>
      <c r="E491" t="str">
        <f t="shared" si="29"/>
        <v>pUmem_Cmd_JogTs(28)-&gt;i.user:$56C8</v>
      </c>
    </row>
    <row r="492" spans="1:5" x14ac:dyDescent="0.3">
      <c r="A492" s="1">
        <v>22296</v>
      </c>
      <c r="B492" s="1" t="str">
        <f t="shared" si="28"/>
        <v>5718</v>
      </c>
      <c r="C492" t="s">
        <v>1551</v>
      </c>
      <c r="D492" t="s">
        <v>1060</v>
      </c>
      <c r="E492" t="str">
        <f t="shared" si="29"/>
        <v>pUmem_Cmd_JogTs(29)-&gt;i.user:$5718</v>
      </c>
    </row>
    <row r="493" spans="1:5" x14ac:dyDescent="0.3">
      <c r="A493" s="1">
        <v>22376</v>
      </c>
      <c r="B493" s="1" t="str">
        <f t="shared" si="28"/>
        <v>5768</v>
      </c>
      <c r="C493" t="s">
        <v>1552</v>
      </c>
      <c r="D493" t="s">
        <v>1060</v>
      </c>
      <c r="E493" t="str">
        <f t="shared" si="29"/>
        <v>pUmem_Cmd_JogTs(30)-&gt;i.user:$5768</v>
      </c>
    </row>
    <row r="494" spans="1:5" x14ac:dyDescent="0.3">
      <c r="A494" s="1">
        <v>22456</v>
      </c>
      <c r="B494" s="1" t="str">
        <f t="shared" si="28"/>
        <v>57B8</v>
      </c>
      <c r="C494" t="s">
        <v>1553</v>
      </c>
      <c r="D494" t="s">
        <v>1060</v>
      </c>
      <c r="E494" t="str">
        <f t="shared" si="29"/>
        <v>pUmem_Cmd_JogTs(31)-&gt;i.user:$57B8</v>
      </c>
    </row>
    <row r="495" spans="1:5" x14ac:dyDescent="0.3">
      <c r="A495" s="1">
        <v>22536</v>
      </c>
      <c r="B495" s="1" t="str">
        <f t="shared" si="28"/>
        <v>5808</v>
      </c>
      <c r="C495" t="s">
        <v>1554</v>
      </c>
      <c r="D495" t="s">
        <v>1060</v>
      </c>
      <c r="E495" t="str">
        <f t="shared" si="29"/>
        <v>pUmem_Cmd_JogTs(32)-&gt;i.user:$5808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STA</vt:lpstr>
      <vt:lpstr>CMD</vt:lpstr>
      <vt:lpstr>IO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OnSys_LMS</dc:creator>
  <cp:lastModifiedBy>MS LEE</cp:lastModifiedBy>
  <dcterms:created xsi:type="dcterms:W3CDTF">2021-06-02T08:52:21Z</dcterms:created>
  <dcterms:modified xsi:type="dcterms:W3CDTF">2025-08-27T10:55:12Z</dcterms:modified>
</cp:coreProperties>
</file>